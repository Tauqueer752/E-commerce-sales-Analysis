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hidePivotFieldList="1"/>
  <mc:AlternateContent xmlns:mc="http://schemas.openxmlformats.org/markup-compatibility/2006">
    <mc:Choice Requires="x15">
      <x15ac:absPath xmlns:x15ac="http://schemas.microsoft.com/office/spreadsheetml/2010/11/ac" url="https://d.docs.live.net/61c499ca5de031f8/Desktop/"/>
    </mc:Choice>
  </mc:AlternateContent>
  <xr:revisionPtr revIDLastSave="0" documentId="8_{319C8AE9-7705-4707-A495-E1C4DA5BB263}" xr6:coauthVersionLast="47" xr6:coauthVersionMax="47" xr10:uidLastSave="{00000000-0000-0000-0000-000000000000}"/>
  <bookViews>
    <workbookView minimized="1" xWindow="5460" yWindow="2415" windowWidth="15375" windowHeight="7875" activeTab="2" xr2:uid="{26D4546B-D2A1-4444-8EAF-A6228F96F0C1}"/>
  </bookViews>
  <sheets>
    <sheet name="Sheet2" sheetId="6" r:id="rId1"/>
    <sheet name="Data" sheetId="2" r:id="rId2"/>
    <sheet name="customer centre Report" sheetId="5" r:id="rId3"/>
  </sheets>
  <definedNames>
    <definedName name="_xlnm._FilterDatabase" localSheetId="1"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961" r:id="rId4"/>
    <pivotCache cacheId="966" r:id="rId5"/>
    <pivotCache cacheId="975" r:id="rId6"/>
    <pivotCache cacheId="1050" r:id="rId7"/>
    <pivotCache cacheId="1053" r:id="rId8"/>
    <pivotCache cacheId="1056" r:id="rId9"/>
    <pivotCache cacheId="1059" r:id="rId10"/>
    <pivotCache cacheId="1062" r:id="rId11"/>
    <pivotCache cacheId="1065" r:id="rId12"/>
  </pivotCaches>
  <extLst>
    <ext xmlns:x14="http://schemas.microsoft.com/office/spreadsheetml/2009/9/main" uri="{876F7934-8845-4945-9796-88D515C7AA90}">
      <x14:pivotCaches>
        <pivotCache cacheId="62"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sample-data-excel-portfolio-project.xlsx!calls"/>
          <x15:modelTable id="customers" name="customers" connection="WorksheetConnection_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1" i="5" l="1"/>
  <c r="M35" i="5"/>
  <c r="M33" i="5"/>
  <c r="I78" i="6"/>
  <c r="I71" i="6"/>
  <c r="I74" i="6" s="1"/>
  <c r="I77" i="6" s="1"/>
  <c r="I72" i="6"/>
  <c r="I75" i="6" s="1"/>
  <c r="I70" i="6"/>
  <c r="I76" i="6" s="1"/>
  <c r="Q18" i="5" a="1"/>
  <c r="Q18" i="5" s="1"/>
  <c r="P19" i="5" a="1"/>
  <c r="P19" i="5" s="1"/>
  <c r="H92" i="6" a="1"/>
  <c r="H92" i="6" s="1"/>
  <c r="I58" i="6"/>
  <c r="J62" i="6" s="1"/>
  <c r="F61" i="6" a="1"/>
  <c r="F61"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63" i="6" l="1"/>
  <c r="J65" i="6"/>
  <c r="I62" i="6"/>
  <c r="J64" i="6"/>
  <c r="I65" i="6"/>
  <c r="I61" i="6"/>
  <c r="J63" i="6"/>
  <c r="I64" i="6"/>
  <c r="J6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5956A3-6C3D-4913-BFAC-1A1B9F9C1D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55602E4-B75D-4215-BD12-C65EDAA70996}"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6CCD9CB9-7C02-40B8-BCD9-00D835B2D3A3}"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<sst xmlns="http://schemas.openxmlformats.org/spreadsheetml/2006/main" count="3161" uniqueCount="1082">
  <si>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</si>
  <si>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</si>
  <si>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</si>
  <si>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</si>
  <si>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</si>
  <si>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</si>
  <si>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</si>
  <si>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</si>
  <si>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</si>
  <si>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</si>
  <si>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</si>
  <si>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</si>
  <si>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</si>
  <si>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</si>
  <si>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</si>
  <si>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</si>
  <si>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</si>
  <si>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</si>
  <si>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</si>
  <si>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</si>
  <si>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</si>
  <si>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</si>
  <si>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</si>
  <si>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</si>
  <si>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</si>
  <si>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</si>
  <si>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</si>
  <si>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</si>
  <si>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</si>
  <si>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</si>
  <si>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</si>
  <si>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</si>
  <si>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</si>
  <si>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</si>
  <si>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</si>
  <si>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</si>
  <si>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</si>
  <si>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</si>
  <si>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</si>
  <si>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</si>
  <si>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</si>
  <si>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</si>
  <si>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</si>
  <si>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</si>
  <si>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</si>
  <si>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</si>
  <si>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</si>
  <si>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</si>
  <si>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</si>
  <si>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</si>
  <si>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</si>
  <si>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</si>
  <si>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</si>
  <si>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</si>
  <si>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</si>
  <si>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</si>
  <si>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</si>
  <si>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</si>
  <si>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</si>
  <si>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</si>
  <si>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</si>
  <si>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</si>
  <si>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</si>
  <si>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</si>
  <si>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</si>
  <si>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</si>
  <si>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</si>
  <si>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</si>
  <si>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</si>
  <si>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</si>
  <si>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</si>
  <si>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</si>
  <si>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</si>
  <si>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</si>
  <si>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</si>
  <si>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</si>
  <si>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</si>
  <si>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</si>
  <si>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</si>
  <si>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</si>
  <si>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</si>
  <si>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</si>
  <si>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</si>
  <si>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</si>
  <si>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</si>
  <si>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</si>
  <si>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</si>
  <si>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</si>
  <si>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</si>
  <si>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</si>
  <si>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</si>
  <si>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</si>
  <si>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</si>
  <si>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</si>
  <si>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</si>
  <si>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</si>
  <si>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</si>
  <si>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</si>
  <si>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</si>
  <si>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</si>
  <si>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</si>
  <si>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</si>
  <si>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</si>
  <si>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</si>
  <si>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</si>
  <si>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</si>
  <si>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</si>
  <si>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</si>
  <si>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</si>
  <si>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</si>
  <si>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</si>
  <si>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</si>
  <si>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</si>
  <si>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</si>
  <si>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</si>
  <si>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</si>
  <si>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</si>
  <si>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</si>
  <si>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</si>
  <si>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</si>
  <si>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</si>
  <si>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</si>
  <si>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</si>
  <si>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</si>
  <si>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</si>
  <si>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</si>
  <si>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</si>
  <si>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</si>
  <si>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</si>
  <si>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</si>
  <si>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</si>
  <si>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</si>
  <si>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</si>
  <si>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</si>
  <si>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</si>
  <si>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</si>
  <si>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</si>
  <si>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</si>
  <si>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</si>
  <si>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</si>
  <si>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</si>
  <si>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</si>
  <si>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</si>
  <si>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</si>
  <si>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</si>
  <si>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</si>
  <si>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</si>
  <si>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</si>
  <si>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</si>
  <si>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</si>
  <si>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</si>
  <si>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</si>
  <si>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</si>
  <si>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</si>
  <si>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</si>
  <si>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</si>
  <si>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</si>
  <si>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</si>
  <si>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</si>
  <si>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</si>
  <si>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</si>
  <si>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</si>
  <si>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</si>
  <si>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</si>
  <si>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</si>
  <si>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</si>
  <si>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</si>
  <si>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</si>
  <si>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</si>
  <si>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</si>
  <si>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</si>
  <si>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</si>
  <si>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</si>
  <si>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</si>
  <si>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</si>
  <si>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</si>
  <si>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</si>
  <si>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</si>
  <si>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</si>
  <si>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</si>
  <si>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</si>
  <si>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</si>
  <si>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</si>
  <si>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</si>
  <si>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</si>
  <si>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</si>
  <si>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</si>
  <si>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</si>
  <si>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</si>
  <si>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</si>
  <si>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</si>
  <si>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</si>
  <si>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</si>
  <si>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</si>
  <si>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</si>
  <si>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</si>
  <si>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</si>
  <si>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</si>
  <si>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</si>
  <si>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</si>
  <si>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</si>
  <si>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</si>
  <si>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</si>
  <si>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</si>
  <si>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</si>
  <si>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</si>
  <si>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</si>
  <si>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</si>
  <si>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</si>
  <si>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</si>
  <si>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</si>
  <si>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</si>
  <si>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</si>
  <si>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</si>
  <si>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</si>
  <si>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</si>
  <si>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</si>
  <si>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</si>
  <si>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</si>
  <si>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</si>
  <si>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</si>
  <si>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</si>
  <si>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</si>
  <si>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</si>
  <si>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</si>
  <si>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</si>
  <si>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</si>
  <si>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</si>
  <si>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</si>
  <si>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</si>
  <si>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</si>
  <si>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</si>
  <si>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</si>
  <si>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</si>
  <si>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</si>
  <si>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</si>
  <si>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</si>
  <si>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</si>
  <si>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</si>
  <si>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</si>
  <si>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</si>
  <si>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</si>
  <si>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</si>
  <si>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</si>
  <si>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</si>
  <si>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</si>
  <si>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</si>
  <si>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</si>
  <si>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</si>
  <si>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</si>
  <si>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</si>
  <si>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</si>
  <si>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</si>
  <si>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</si>
  <si>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</si>
  <si>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</si>
  <si>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</si>
  <si>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</si>
  <si>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</si>
  <si>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</si>
  <si>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</si>
  <si>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</si>
  <si>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</si>
  <si>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</si>
  <si>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</si>
  <si>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</si>
  <si>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</si>
  <si>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</si>
  <si>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</si>
  <si>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</si>
  <si>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</si>
  <si>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</si>
  <si>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</si>
  <si>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</si>
  <si>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</si>
  <si>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</si>
  <si>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</si>
  <si>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</si>
  <si>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</si>
  <si>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</si>
  <si>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</si>
  <si>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</si>
  <si>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</si>
  <si>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</si>
  <si>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</si>
  <si>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</si>
  <si>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</si>
  <si>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</si>
  <si>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</si>
  <si>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</si>
  <si>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</si>
  <si>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</si>
  <si>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</si>
  <si>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</si>
  <si>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</si>
  <si>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</si>
  <si>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</si>
  <si>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</si>
  <si>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</si>
  <si>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</si>
  <si>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</si>
  <si>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</si>
  <si>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</si>
  <si>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</si>
  <si>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</si>
  <si>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</si>
  <si>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</si>
  <si>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</si>
  <si>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</si>
  <si>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</si>
  <si>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</si>
  <si>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</si>
  <si>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</si>
  <si>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</si>
  <si>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</si>
  <si>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</si>
  <si>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</si>
  <si>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</si>
  <si>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</si>
  <si>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</si>
  <si>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</si>
  <si>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</si>
  <si>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</si>
  <si>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</si>
  <si>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</si>
  <si>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</si>
  <si>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</si>
  <si>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</si>
  <si>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</si>
  <si>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</si>
  <si>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</si>
  <si>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</si>
  <si>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</si>
  <si>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</si>
  <si>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</si>
  <si>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</si>
  <si>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</si>
  <si>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</si>
  <si>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</si>
  <si>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</si>
  <si>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</si>
  <si>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</si>
  <si>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</si>
  <si>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</si>
  <si>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</si>
  <si>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</si>
  <si>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</si>
  <si>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</si>
  <si>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</si>
  <si>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</si>
  <si>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</si>
  <si>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</si>
  <si>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</si>
  <si>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</si>
  <si>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</si>
  <si>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</si>
  <si>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</si>
  <si>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</si>
  <si>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</si>
  <si>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</si>
  <si>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</si>
  <si>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</si>
  <si>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</si>
  <si>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</si>
  <si>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</si>
  <si>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</si>
  <si>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</si>
  <si>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</si>
  <si>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</si>
  <si>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</si>
  <si>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</si>
  <si>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</si>
  <si>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</si>
  <si>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</si>
  <si>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</si>
  <si>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</si>
  <si>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</si>
  <si>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</si>
  <si>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</si>
  <si>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</si>
  <si>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</si>
  <si>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</si>
  <si>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</si>
  <si>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</si>
  <si>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</si>
  <si>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</si>
  <si>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</si>
  <si>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</si>
  <si>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</si>
  <si>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</si>
  <si>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</si>
  <si>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</si>
  <si>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</si>
  <si>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</si>
  <si>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</si>
  <si>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</si>
  <si>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</si>
  <si>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</si>
  <si>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</si>
  <si>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</si>
  <si>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</si>
  <si>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</si>
  <si>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</si>
  <si>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</si>
  <si>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</si>
  <si>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</si>
  <si>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</si>
  <si>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</si>
  <si>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</si>
  <si>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</si>
  <si>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</si>
  <si>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</si>
  <si>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</si>
  <si>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</si>
  <si>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</si>
  <si>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</si>
  <si>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</si>
  <si>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</si>
  <si>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</si>
  <si>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</si>
  <si>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</si>
  <si>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</si>
  <si>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</si>
  <si>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</si>
  <si>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</si>
  <si>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</si>
  <si>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</si>
  <si>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</si>
  <si>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</si>
  <si>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</si>
  <si>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</si>
  <si>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</si>
  <si>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</si>
  <si>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</si>
  <si>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</si>
  <si>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</si>
  <si>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</si>
  <si>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</si>
  <si>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</si>
  <si>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</si>
  <si>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</si>
  <si>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</si>
  <si>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</si>
  <si>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</si>
  <si>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</si>
  <si>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</si>
  <si>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</si>
  <si>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</si>
  <si>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</si>
  <si>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</si>
  <si>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</si>
  <si>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</si>
  <si>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</si>
  <si>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</si>
  <si>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</si>
  <si>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</si>
  <si>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</si>
  <si>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</si>
  <si>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</si>
  <si>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</si>
  <si>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</si>
  <si>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</si>
  <si>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</si>
  <si>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</si>
  <si>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</si>
  <si>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</si>
  <si>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</si>
  <si>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</si>
  <si>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</si>
  <si>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</si>
  <si>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</si>
  <si>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</si>
  <si>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</si>
  <si>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</si>
  <si>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</si>
  <si>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</si>
  <si>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</si>
  <si>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</si>
  <si>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</si>
  <si>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</si>
  <si>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</si>
  <si>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</si>
  <si>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</si>
  <si>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</si>
  <si>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</si>
  <si>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</si>
  <si>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</si>
  <si>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</si>
  <si>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</si>
  <si>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</si>
  <si>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</si>
  <si>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</si>
  <si>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</si>
  <si>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</si>
  <si>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</si>
  <si>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</si>
  <si>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</si>
  <si>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</si>
  <si>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</si>
  <si>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</si>
  <si>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</si>
  <si>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</si>
  <si>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</si>
  <si>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</si>
  <si>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</si>
  <si>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</si>
  <si>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</si>
  <si>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</si>
  <si>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</si>
  <si>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</si>
  <si>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</si>
  <si>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</si>
  <si>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</si>
  <si>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</si>
  <si>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</si>
  <si>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</si>
  <si>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</si>
  <si>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</si>
  <si>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</si>
  <si>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</si>
  <si>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</si>
  <si>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</si>
  <si>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</si>
  <si>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</si>
  <si>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</si>
  <si>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</si>
  <si>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</si>
  <si>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</si>
  <si>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</si>
  <si>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</si>
  <si>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</si>
  <si>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</si>
  <si>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</si>
  <si>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</si>
  <si>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</si>
  <si>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</si>
  <si>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</si>
  <si>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</si>
  <si>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</si>
  <si>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</si>
  <si>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</si>
  <si>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</si>
  <si>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</si>
  <si>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</si>
  <si>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</si>
  <si>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</si>
  <si>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</si>
  <si>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</si>
  <si>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</si>
  <si>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</si>
  <si>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</si>
  <si>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</si>
  <si>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</si>
  <si>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</si>
  <si>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</si>
  <si>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</si>
  <si>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</si>
  <si>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</si>
  <si>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</si>
  <si>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</si>
  <si>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</si>
  <si>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</si>
  <si>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</si>
  <si>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</si>
  <si>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</si>
  <si>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</si>
  <si>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</si>
  <si>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</si>
  <si>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</si>
  <si>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</si>
  <si>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</si>
  <si>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</si>
  <si>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</si>
  <si>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</si>
  <si>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</si>
  <si>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</si>
  <si>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</si>
  <si>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</si>
  <si>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</si>
  <si>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</si>
  <si>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</si>
  <si>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</si>
  <si>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</si>
  <si>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</si>
  <si>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</si>
  <si>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</si>
  <si>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</si>
  <si>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</si>
  <si>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</si>
  <si>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</si>
  <si>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</si>
  <si>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</si>
  <si>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</si>
  <si>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</si>
  <si>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</si>
  <si>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</si>
  <si>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</si>
  <si>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</si>
  <si>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</si>
  <si>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</si>
  <si>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</si>
  <si>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</si>
  <si>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</si>
  <si>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</si>
  <si>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</si>
  <si>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</si>
  <si>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</si>
  <si>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</si>
  <si>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</si>
  <si>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</si>
  <si>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</si>
  <si>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</si>
  <si>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</si>
  <si>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</si>
  <si>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</si>
  <si>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</si>
  <si>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</si>
  <si>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</si>
  <si>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</si>
  <si>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</si>
  <si>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</si>
  <si>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</si>
  <si>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</si>
  <si>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</si>
  <si>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</si>
  <si>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</si>
  <si>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</si>
  <si>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</si>
  <si>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</si>
  <si>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</si>
  <si>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</si>
  <si>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</si>
  <si>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</si>
  <si>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</si>
  <si>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</si>
  <si>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</si>
  <si>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</si>
  <si>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</si>
  <si>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</si>
  <si>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</si>
  <si>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</si>
  <si>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</si>
  <si>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</si>
  <si>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</si>
  <si>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</si>
  <si>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</si>
  <si>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</si>
  <si>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</si>
  <si>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</si>
  <si>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</si>
  <si>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</si>
  <si>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</si>
  <si>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</si>
  <si>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</si>
  <si>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</si>
  <si>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</si>
  <si>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</si>
  <si>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</si>
  <si>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</si>
  <si>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</si>
  <si>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</si>
  <si>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</si>
  <si>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</si>
  <si>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</si>
  <si>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</si>
  <si>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</si>
  <si>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</si>
  <si>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</si>
  <si>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</si>
  <si>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</si>
  <si>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</si>
  <si>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</si>
  <si>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</si>
  <si>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</si>
  <si>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</si>
  <si>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</si>
  <si>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</si>
  <si>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</si>
  <si>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</si>
  <si>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</si>
  <si>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</si>
  <si>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</si>
  <si>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</si>
  <si>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</si>
  <si>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</si>
  <si>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</si>
  <si>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</si>
  <si>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</si>
  <si>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</si>
  <si>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</si>
  <si>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</si>
  <si>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</si>
  <si>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</si>
  <si>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</si>
  <si>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</si>
  <si>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</si>
  <si>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</si>
  <si>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</si>
  <si>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</si>
  <si>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</si>
  <si>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</si>
  <si>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</si>
  <si>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</si>
  <si>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</si>
  <si>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</si>
  <si>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</si>
  <si>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</si>
  <si>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</si>
  <si>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</si>
  <si>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</si>
  <si>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</si>
  <si>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</si>
  <si>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</si>
  <si>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</si>
  <si>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</si>
  <si>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</si>
  <si>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</si>
  <si>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</si>
  <si>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</si>
  <si>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</si>
  <si>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</si>
  <si>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</si>
  <si>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</si>
  <si>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</si>
  <si>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</si>
  <si>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</si>
  <si>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</si>
  <si>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</si>
  <si>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</si>
  <si>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</si>
  <si>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</si>
  <si>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</si>
  <si>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</si>
  <si>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</si>
  <si>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</si>
  <si>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</si>
  <si>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</si>
  <si>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</si>
  <si>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</si>
  <si>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</si>
  <si>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</si>
  <si>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</si>
  <si>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</si>
  <si>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</si>
  <si>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</si>
  <si>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</si>
  <si>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</si>
  <si>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</si>
  <si>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</si>
  <si>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</si>
  <si>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</si>
  <si>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</si>
  <si>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</si>
  <si>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</si>
  <si>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</si>
  <si>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</si>
  <si>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</si>
  <si>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</si>
  <si>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</si>
  <si>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</si>
  <si>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</si>
  <si>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</si>
  <si>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</si>
  <si>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</si>
  <si>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</si>
  <si>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</si>
  <si>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</si>
  <si>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</si>
  <si>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</si>
  <si>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</si>
  <si>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</si>
  <si>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</si>
  <si>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</si>
  <si>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</si>
  <si>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</si>
  <si>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</si>
  <si>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</si>
  <si>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</si>
  <si>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</si>
  <si>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</si>
  <si>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</si>
  <si>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</si>
  <si>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</si>
  <si>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</si>
  <si>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</si>
  <si>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</si>
  <si>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</si>
  <si>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</si>
  <si>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</si>
  <si>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</si>
  <si>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</si>
  <si>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</si>
  <si>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</si>
  <si>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</si>
  <si>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</si>
  <si>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</si>
  <si>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</si>
  <si>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</si>
  <si>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</si>
  <si>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</si>
  <si>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</si>
  <si>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</si>
  <si>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</si>
  <si>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</si>
  <si>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</si>
  <si>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</si>
  <si>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</si>
  <si>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</si>
  <si>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</si>
  <si>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</si>
  <si>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</si>
  <si>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</si>
  <si>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</si>
  <si>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</si>
  <si>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</si>
  <si>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</si>
  <si>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</si>
  <si>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</si>
  <si>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</si>
  <si>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</si>
  <si>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</si>
  <si>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</si>
  <si>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</si>
  <si>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</si>
  <si>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</si>
  <si>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</si>
  <si>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</si>
  <si>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</si>
  <si>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</si>
  <si>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</si>
  <si>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</si>
  <si>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</si>
  <si>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</si>
  <si>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</si>
  <si>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</si>
  <si>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</si>
  <si>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</si>
  <si>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</si>
  <si>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</si>
  <si>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</si>
  <si>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</si>
  <si>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</si>
  <si>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</si>
  <si>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</si>
  <si>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</si>
  <si>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</si>
  <si>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</si>
  <si>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</si>
  <si>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</si>
  <si>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</si>
  <si>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</si>
  <si>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</si>
  <si>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</si>
  <si>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</si>
  <si>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</si>
  <si>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</si>
  <si>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</si>
  <si>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</si>
  <si>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</si>
  <si>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</si>
  <si>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</si>
  <si>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</si>
  <si>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</si>
  <si>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</si>
  <si>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</si>
  <si>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</si>
  <si>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</si>
  <si>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</si>
  <si>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</si>
  <si>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</si>
  <si>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</si>
  <si>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</si>
  <si>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</si>
  <si>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</si>
  <si>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</si>
  <si>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</si>
  <si>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</si>
  <si>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</si>
  <si>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</si>
  <si>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</si>
  <si>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</si>
  <si>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</si>
  <si>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</si>
  <si>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</si>
  <si>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</si>
  <si>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</si>
  <si>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</si>
  <si>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</si>
  <si>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</si>
  <si>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</si>
  <si>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</si>
  <si>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</si>
  <si>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</si>
  <si>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</si>
  <si>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</si>
  <si>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</si>
  <si>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</si>
  <si>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</si>
  <si>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</si>
  <si>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</si>
  <si>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</si>
  <si>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</si>
  <si>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</si>
  <si>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</si>
  <si>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</si>
  <si>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</si>
  <si>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</si>
  <si>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</si>
  <si>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</si>
  <si>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</si>
  <si>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</si>
  <si>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</si>
  <si>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</si>
  <si>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</si>
  <si>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</si>
  <si>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</si>
  <si>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</si>
  <si>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</si>
  <si>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</si>
  <si>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</si>
  <si>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</si>
  <si>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</si>
  <si>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</si>
  <si>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</si>
  <si>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</si>
  <si>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</si>
  <si>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</si>
  <si>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</si>
  <si>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</si>
  <si>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</si>
  <si>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</si>
  <si>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</si>
  <si>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</si>
  <si>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</si>
  <si>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</si>
  <si>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</si>
  <si>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</si>
  <si>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</si>
  <si>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</si>
  <si>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</si>
  <si>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</si>
  <si>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</si>
  <si>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</si>
  <si>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</si>
  <si>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</si>
  <si>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</si>
  <si>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</si>
  <si>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</si>
  <si>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</si>
  <si>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</si>
  <si>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</si>
  <si>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</si>
  <si>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</si>
  <si>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</si>
  <si>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</si>
  <si>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</si>
  <si>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</si>
  <si>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</si>
  <si>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</si>
  <si>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</si>
  <si>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</si>
  <si>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</si>
  <si>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</si>
  <si>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</si>
  <si>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</si>
  <si>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</si>
  <si>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</si>
  <si>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</si>
  <si>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</si>
  <si>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</si>
  <si>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</si>
  <si>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</si>
  <si>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</si>
  <si>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</si>
  <si>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</si>
  <si>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</si>
  <si>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</si>
  <si>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</si>
  <si>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</si>
  <si>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</si>
  <si>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</si>
  <si>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</si>
  <si>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</si>
  <si>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</si>
  <si>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</si>
  <si>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</si>
  <si>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</si>
  <si>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</si>
  <si>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</si>
  <si>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</si>
  <si>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</si>
  <si>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</si>
  <si>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</si>
  <si>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</si>
  <si>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</si>
  <si>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</si>
  <si>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</si>
  <si>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</si>
  <si>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</si>
  <si>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</si>
  <si>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</si>
  <si>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</si>
  <si>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</si>
  <si>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</si>
  <si>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</si>
  <si>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</si>
  <si>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</si>
  <si>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</si>
  <si>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</si>
  <si>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</si>
  <si>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</si>
  <si>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</si>
  <si>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</si>
  <si>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</si>
  <si>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</si>
  <si>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</si>
  <si>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</si>
  <si>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</si>
  <si>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</si>
  <si>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</si>
  <si>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</si>
  <si>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</si>
  <si>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</si>
  <si>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</si>
  <si>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</si>
  <si>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</si>
  <si>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</si>
  <si>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</si>
  <si>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</si>
  <si>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</si>
  <si>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</si>
  <si>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</si>
  <si>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</si>
  <si>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</si>
  <si>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</si>
  <si>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</si>
  <si>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</si>
  <si>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</si>
  <si>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</si>
  <si>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</si>
  <si>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</si>
  <si>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</si>
  <si>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</si>
  <si>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</si>
  <si>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 calls</t>
  </si>
  <si>
    <t>Column Labels</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</si>
  <si>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</si>
  <si>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</si>
  <si>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</si>
  <si>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</si>
  <si>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</si>
  <si>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</si>
  <si>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</si>
  <si>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</si>
  <si>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</si>
  <si>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</si>
  <si>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</si>
  <si>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</si>
  <si>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</si>
  <si>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</si>
  <si>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</si>
  <si>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</si>
  <si>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</si>
  <si>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</si>
  <si>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</si>
  <si>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</si>
  <si>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</si>
  <si>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</si>
  <si>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For Graph</t>
  </si>
  <si>
    <t>Rep</t>
  </si>
  <si>
    <t xml:space="preserve">call </t>
  </si>
  <si>
    <t>Amount</t>
  </si>
  <si>
    <t xml:space="preserve">Selected Rep </t>
  </si>
  <si>
    <t>selected call</t>
  </si>
  <si>
    <t>selected amount</t>
  </si>
  <si>
    <t>Sum of Purchase Amount</t>
  </si>
  <si>
    <t>Rep Summary</t>
  </si>
  <si>
    <t>% of calls</t>
  </si>
  <si>
    <t>Amount Rank</t>
  </si>
  <si>
    <t xml:space="preserve">Call </t>
  </si>
  <si>
    <t>call Rank</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</si>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</sst>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9" formatCode="[$$-409]#,##0.00"/>
    <numFmt numFmtId="170" formatCode="[$$-409]#,##0"/>
  </numFmts>
  <fonts count="9" x14ac:knownFonts="1">
    <font>
      <sz val="11"/>
      <color theme="1"/>
      <name val="Footlight MT Light"/>
      <family val="2"/>
      <scheme val="minor"/>
    </font>
    <font>
      <b/>
      <sz val="11"/>
      <color theme="1"/>
      <name val="Footlight MT Light"/>
      <family val="2"/>
      <scheme val="minor"/>
    </font>
    <font>
      <sz val="8"/>
      <name val="Footlight MT Light"/>
      <family val="2"/>
      <scheme val="minor"/>
    </font>
    <font>
      <sz val="18"/>
      <color theme="1"/>
      <name val="Aptos ExtraBold"/>
      <family val="2"/>
    </font>
    <font>
      <sz val="11"/>
      <color theme="1"/>
      <name val="Footlight MT Light"/>
      <family val="2"/>
      <scheme val="minor"/>
    </font>
    <font>
      <sz val="11"/>
      <color theme="0"/>
      <name val="Footlight MT Light"/>
      <family val="2"/>
      <scheme val="minor"/>
    </font>
    <font>
      <sz val="20"/>
      <color theme="9"/>
      <name val="Aptos Black"/>
      <family val="2"/>
    </font>
    <font>
      <sz val="20"/>
      <color theme="9"/>
      <name val="Aptos ExtraBold"/>
      <family val="2"/>
    </font>
    <font>
      <sz val="11"/>
      <color theme="9"/>
      <name val="Footlight MT Light"/>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tint="4.9989318521683403E-2"/>
      </left>
      <right/>
      <top style="thin">
        <color theme="1" tint="4.9989318521683403E-2"/>
      </top>
      <bottom/>
      <diagonal/>
    </border>
    <border>
      <left/>
      <right/>
      <top style="thin">
        <color theme="1" tint="4.9989318521683403E-2"/>
      </top>
      <bottom/>
      <diagonal/>
    </border>
    <border>
      <left/>
      <right style="thin">
        <color theme="1" tint="4.9989318521683403E-2"/>
      </right>
      <top style="thin">
        <color theme="1" tint="4.9989318521683403E-2"/>
      </top>
      <bottom/>
      <diagonal/>
    </border>
    <border>
      <left style="thin">
        <color theme="1" tint="4.9989318521683403E-2"/>
      </left>
      <right/>
      <top/>
      <bottom/>
      <diagonal/>
    </border>
    <border>
      <left/>
      <right style="thin">
        <color theme="1" tint="4.9989318521683403E-2"/>
      </right>
      <top/>
      <bottom/>
      <diagonal/>
    </border>
    <border>
      <left style="thin">
        <color theme="1"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s>
  <cellStyleXfs count="2">
    <xf numFmtId="0" fontId="0" fillId="0" borderId="0"/>
    <xf numFmtId="9" fontId="4" fillId="0" borderId="0" applyFont="0" applyFill="0" applyBorder="0" applyAlignment="0" applyProtection="0"/>
  </cellStyleXfs>
  <cellXfs count="4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65" fontId="0" fillId="0" borderId="0" xfId="0" applyNumberFormat="1"/>
    <xf numFmtId="3" fontId="0" fillId="0" borderId="0" xfId="0" applyNumberFormat="1"/>
    <xf numFmtId="166" fontId="0" fillId="0" borderId="0" xfId="0" applyNumberFormat="1"/>
    <xf numFmtId="0" fontId="0" fillId="0" borderId="0" xfId="0" pivotButton="1"/>
    <xf numFmtId="0" fontId="5" fillId="3" borderId="0" xfId="0" applyFont="1" applyFill="1"/>
    <xf numFmtId="0" fontId="0" fillId="0" borderId="0" xfId="0" applyAlignment="1">
      <alignment horizontal="left"/>
    </xf>
    <xf numFmtId="169" fontId="0" fillId="0" borderId="0" xfId="0" applyNumberFormat="1"/>
    <xf numFmtId="0" fontId="0" fillId="0" borderId="0" xfId="0" applyNumberFormat="1"/>
    <xf numFmtId="0" fontId="0" fillId="0" borderId="0" xfId="0" applyAlignment="1">
      <alignment horizontal="left" indent="1"/>
    </xf>
    <xf numFmtId="170" fontId="0" fillId="3" borderId="0" xfId="0" applyNumberFormat="1" applyFill="1"/>
    <xf numFmtId="0" fontId="0" fillId="4" borderId="0" xfId="0" applyFill="1" applyBorder="1"/>
    <xf numFmtId="170" fontId="0" fillId="4" borderId="0" xfId="0" applyNumberFormat="1" applyFill="1" applyBorder="1"/>
    <xf numFmtId="0" fontId="0" fillId="4" borderId="10" xfId="0" applyFill="1" applyBorder="1"/>
    <xf numFmtId="0" fontId="0" fillId="4" borderId="11" xfId="0" applyFill="1" applyBorder="1"/>
    <xf numFmtId="0" fontId="0" fillId="4" borderId="12" xfId="0" applyFill="1" applyBorder="1"/>
    <xf numFmtId="0" fontId="0" fillId="4" borderId="13" xfId="0" applyFill="1" applyBorder="1"/>
    <xf numFmtId="0" fontId="0" fillId="4" borderId="14" xfId="0" applyFill="1" applyBorder="1"/>
    <xf numFmtId="170" fontId="0" fillId="4" borderId="14" xfId="0" applyNumberFormat="1" applyFill="1" applyBorder="1"/>
    <xf numFmtId="0" fontId="0" fillId="4" borderId="15" xfId="0" applyFill="1" applyBorder="1"/>
    <xf numFmtId="170" fontId="0" fillId="4" borderId="16" xfId="0" applyNumberFormat="1" applyFill="1" applyBorder="1"/>
    <xf numFmtId="170" fontId="0" fillId="4" borderId="17" xfId="0" applyNumberFormat="1" applyFill="1" applyBorder="1"/>
    <xf numFmtId="9" fontId="0" fillId="0" borderId="0" xfId="1" applyFont="1"/>
    <xf numFmtId="2" fontId="0" fillId="0" borderId="0" xfId="1" applyNumberFormat="1" applyFont="1"/>
    <xf numFmtId="0" fontId="6" fillId="3" borderId="0" xfId="0" applyFont="1" applyFill="1" applyAlignment="1">
      <alignment horizontal="center"/>
    </xf>
    <xf numFmtId="0" fontId="6" fillId="3" borderId="14" xfId="0" applyFont="1" applyFill="1" applyBorder="1" applyAlignment="1">
      <alignment horizontal="center"/>
    </xf>
    <xf numFmtId="0" fontId="7" fillId="3" borderId="0" xfId="0" applyFont="1" applyFill="1" applyAlignment="1"/>
    <xf numFmtId="0" fontId="8" fillId="3" borderId="0" xfId="0" applyFont="1" applyFill="1"/>
    <xf numFmtId="0" fontId="7" fillId="3" borderId="0" xfId="0" applyFont="1" applyFill="1"/>
  </cellXfs>
  <cellStyles count="2">
    <cellStyle name="Normal" xfId="0" builtinId="0"/>
    <cellStyle name="Percent" xfId="1" builtinId="5"/>
  </cellStyles>
  <dxfs count="23">
    <dxf>
      <fill>
        <patternFill>
          <bgColor theme="8" tint="0.59996337778862885"/>
        </patternFill>
      </fill>
    </dxf>
    <dxf>
      <numFmt numFmtId="169" formatCode="[$$-409]#,##0.00"/>
    </dxf>
    <dxf>
      <numFmt numFmtId="169" formatCode="[$$-409]#,##0.00"/>
    </dxf>
    <dxf>
      <numFmt numFmtId="169" formatCode="[$$-409]#,##0.00"/>
    </dxf>
    <dxf>
      <numFmt numFmtId="169" formatCode="[$$-409]#,##0.00"/>
    </dxf>
    <dxf>
      <numFmt numFmtId="169" formatCode="[$$-409]#,##0.0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Footlight MT Light"/>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2"/>
    </tableStyle>
    <tableStyle name="SlicerStyleDark5 2" pivot="0" table="0" count="10" xr9:uid="{2EE85F88-20C4-47AD-AE0F-2591AA7DDF0C}">
      <tableStyleElement type="wholeTable" dxfId="7"/>
      <tableStyleElement type="headerRow" dxfId="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sz val="12"/>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Excel Project.xlsx]Sheet2!monthly trend</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Sheet2!$C$21</c:f>
              <c:strCache>
                <c:ptCount val="1"/>
                <c:pt idx="0">
                  <c:v>Call Count2</c:v>
                </c:pt>
              </c:strCache>
            </c:strRef>
          </c:tx>
          <c:spPr>
            <a:solidFill>
              <a:schemeClr val="accent2"/>
            </a:solidFill>
            <a:ln>
              <a:noFill/>
            </a:ln>
            <a:effectLst/>
          </c:spPr>
          <c:cat>
            <c:strRef>
              <c:f>Sheet2!$A$22:$A$34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Sheet2!$C$22:$C$34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2-3843-4486-99EE-F5274BB553BC}"/>
            </c:ext>
          </c:extLst>
        </c:ser>
        <c:dLbls>
          <c:showLegendKey val="0"/>
          <c:showVal val="0"/>
          <c:showCatName val="0"/>
          <c:showSerName val="0"/>
          <c:showPercent val="0"/>
          <c:showBubbleSize val="0"/>
        </c:dLbls>
        <c:axId val="884073208"/>
        <c:axId val="884073568"/>
      </c:areaChart>
      <c:lineChart>
        <c:grouping val="standard"/>
        <c:varyColors val="0"/>
        <c:ser>
          <c:idx val="0"/>
          <c:order val="0"/>
          <c:tx>
            <c:strRef>
              <c:f>Sheet2!$B$21</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Sheet2!$B$22:$B$34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0-3843-4486-99EE-F5274BB553BC}"/>
            </c:ext>
          </c:extLst>
        </c:ser>
        <c:dLbls>
          <c:dLblPos val="t"/>
          <c:showLegendKey val="0"/>
          <c:showVal val="0"/>
          <c:showCatName val="0"/>
          <c:showSerName val="0"/>
          <c:showPercent val="0"/>
          <c:showBubbleSize val="0"/>
        </c:dLbls>
        <c:marker val="1"/>
        <c:smooth val="0"/>
        <c:axId val="884073208"/>
        <c:axId val="884073568"/>
      </c:lineChart>
      <c:catAx>
        <c:axId val="884073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73568"/>
        <c:crosses val="autoZero"/>
        <c:auto val="1"/>
        <c:lblAlgn val="ctr"/>
        <c:lblOffset val="100"/>
        <c:noMultiLvlLbl val="0"/>
      </c:catAx>
      <c:valAx>
        <c:axId val="884073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73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Excel Project.xlsx]Sheet2!weekly trend</c:name>
    <c:fmtId val="8"/>
  </c:pivotSource>
  <c:chart>
    <c:autoTitleDeleted val="1"/>
    <c:pivotFmts>
      <c:pivotFmt>
        <c:idx val="0"/>
        <c:spPr>
          <a:solidFill>
            <a:schemeClr val="accent5">
              <a:lumMod val="60000"/>
              <a:lumOff val="40000"/>
            </a:schemeClr>
          </a:solidFill>
          <a:ln>
            <a:solidFill>
              <a:srgbClr val="C00000">
                <a:alpha val="99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Sheet2!$B$38</c:f>
              <c:strCache>
                <c:ptCount val="1"/>
                <c:pt idx="0">
                  <c:v>Total</c:v>
                </c:pt>
              </c:strCache>
            </c:strRef>
          </c:tx>
          <c:spPr>
            <a:solidFill>
              <a:schemeClr val="accent5">
                <a:lumMod val="60000"/>
                <a:lumOff val="40000"/>
              </a:schemeClr>
            </a:solidFill>
            <a:ln>
              <a:solidFill>
                <a:srgbClr val="C00000">
                  <a:alpha val="99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Sheet2!$A$39:$A$46</c:f>
              <c:strCache>
                <c:ptCount val="7"/>
                <c:pt idx="0">
                  <c:v>Monday</c:v>
                </c:pt>
                <c:pt idx="1">
                  <c:v>Tuesday</c:v>
                </c:pt>
                <c:pt idx="2">
                  <c:v>Wednesday</c:v>
                </c:pt>
                <c:pt idx="3">
                  <c:v>Thursday</c:v>
                </c:pt>
                <c:pt idx="4">
                  <c:v>Friday</c:v>
                </c:pt>
                <c:pt idx="5">
                  <c:v>Saturday</c:v>
                </c:pt>
                <c:pt idx="6">
                  <c:v>Sunday</c:v>
                </c:pt>
              </c:strCache>
            </c:strRef>
          </c:cat>
          <c:val>
            <c:numRef>
              <c:f>Sheet2!$B$39:$B$46</c:f>
              <c:numCache>
                <c:formatCode>#,##0</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2500-44FD-9597-3C03B7FC80F0}"/>
            </c:ext>
          </c:extLst>
        </c:ser>
        <c:dLbls>
          <c:showLegendKey val="0"/>
          <c:showVal val="0"/>
          <c:showCatName val="0"/>
          <c:showSerName val="0"/>
          <c:showPercent val="0"/>
          <c:showBubbleSize val="0"/>
        </c:dLbls>
        <c:gapWidth val="32"/>
        <c:axId val="889599944"/>
        <c:axId val="889600664"/>
      </c:barChart>
      <c:catAx>
        <c:axId val="8895999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600664"/>
        <c:crosses val="autoZero"/>
        <c:auto val="1"/>
        <c:lblAlgn val="ctr"/>
        <c:lblOffset val="100"/>
        <c:noMultiLvlLbl val="0"/>
      </c:catAx>
      <c:valAx>
        <c:axId val="889600664"/>
        <c:scaling>
          <c:orientation val="minMax"/>
        </c:scaling>
        <c:delete val="1"/>
        <c:axPos val="t"/>
        <c:numFmt formatCode="#,##0" sourceLinked="1"/>
        <c:majorTickMark val="none"/>
        <c:minorTickMark val="none"/>
        <c:tickLblPos val="nextTo"/>
        <c:crossAx val="889599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Sheet2!$F$61:$F$65</c:f>
              <c:strCache>
                <c:ptCount val="5"/>
                <c:pt idx="0">
                  <c:v>R01</c:v>
                </c:pt>
                <c:pt idx="1">
                  <c:v>R02</c:v>
                </c:pt>
                <c:pt idx="2">
                  <c:v>R03</c:v>
                </c:pt>
                <c:pt idx="3">
                  <c:v>R04</c:v>
                </c:pt>
                <c:pt idx="4">
                  <c:v>R05</c:v>
                </c:pt>
              </c:strCache>
            </c:strRef>
          </c:cat>
          <c:val>
            <c:numRef>
              <c:f>Sheet2!$G$61:$G$65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2A95-42B3-9433-6C76494C5C68}"/>
            </c:ext>
          </c:extLst>
        </c:ser>
        <c:ser>
          <c:idx val="1"/>
          <c:order val="1"/>
          <c:spPr>
            <a:gradFill>
              <a:gsLst>
                <a:gs pos="29000">
                  <a:schemeClr val="accent6">
                    <a:lumMod val="97000"/>
                  </a:schemeClr>
                </a:gs>
                <a:gs pos="100000">
                  <a:schemeClr val="accent5">
                    <a:lumMod val="60000"/>
                    <a:lumOff val="40000"/>
                    <a:alpha val="50000"/>
                  </a:schemeClr>
                </a:gs>
              </a:gsLst>
              <a:lin ang="7200000" scaled="0"/>
            </a:gradFill>
            <a:ln>
              <a:noFill/>
            </a:ln>
            <a:effectLst/>
          </c:spPr>
          <c:invertIfNegative val="0"/>
          <c:cat>
            <c:strRef>
              <c:f>Sheet2!$F$61:$F$65</c:f>
              <c:strCache>
                <c:ptCount val="5"/>
                <c:pt idx="0">
                  <c:v>R01</c:v>
                </c:pt>
                <c:pt idx="1">
                  <c:v>R02</c:v>
                </c:pt>
                <c:pt idx="2">
                  <c:v>R03</c:v>
                </c:pt>
                <c:pt idx="3">
                  <c:v>R04</c:v>
                </c:pt>
                <c:pt idx="4">
                  <c:v>R05</c:v>
                </c:pt>
              </c:strCache>
            </c:strRef>
          </c:cat>
          <c:val>
            <c:numRef>
              <c:f>Sheet2!$I$61:$I$65</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2A95-42B3-9433-6C76494C5C68}"/>
            </c:ext>
          </c:extLst>
        </c:ser>
        <c:dLbls>
          <c:showLegendKey val="0"/>
          <c:showVal val="0"/>
          <c:showCatName val="0"/>
          <c:showSerName val="0"/>
          <c:showPercent val="0"/>
          <c:showBubbleSize val="0"/>
        </c:dLbls>
        <c:gapWidth val="25"/>
        <c:overlap val="100"/>
        <c:axId val="660918720"/>
        <c:axId val="660921600"/>
      </c:barChart>
      <c:catAx>
        <c:axId val="660918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21600"/>
        <c:crosses val="autoZero"/>
        <c:auto val="1"/>
        <c:lblAlgn val="ctr"/>
        <c:lblOffset val="100"/>
        <c:noMultiLvlLbl val="0"/>
      </c:catAx>
      <c:valAx>
        <c:axId val="6609216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60918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numFmt formatCode="[&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Sheet2!$F$61:$F$65</c:f>
              <c:strCache>
                <c:ptCount val="5"/>
                <c:pt idx="0">
                  <c:v>R01</c:v>
                </c:pt>
                <c:pt idx="1">
                  <c:v>R02</c:v>
                </c:pt>
                <c:pt idx="2">
                  <c:v>R03</c:v>
                </c:pt>
                <c:pt idx="3">
                  <c:v>R04</c:v>
                </c:pt>
                <c:pt idx="4">
                  <c:v>R05</c:v>
                </c:pt>
              </c:strCache>
            </c:strRef>
          </c:cat>
          <c:val>
            <c:numRef>
              <c:f>Sheet2!$H$61:$H$65</c:f>
              <c:numCache>
                <c:formatCode>[$$-409]#,##0.00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DBB-4317-A18A-841D890C0CFF}"/>
            </c:ext>
          </c:extLst>
        </c:ser>
        <c:ser>
          <c:idx val="1"/>
          <c:order val="1"/>
          <c:spPr>
            <a:gradFill>
              <a:gsLst>
                <a:gs pos="29000">
                  <a:schemeClr val="accent3">
                    <a:lumMod val="75000"/>
                  </a:schemeClr>
                </a:gs>
                <a:gs pos="100000">
                  <a:schemeClr val="accent5">
                    <a:lumMod val="60000"/>
                    <a:lumOff val="40000"/>
                    <a:alpha val="50000"/>
                  </a:schemeClr>
                </a:gs>
              </a:gsLst>
              <a:lin ang="7200000" scaled="0"/>
            </a:gradFill>
            <a:ln>
              <a:noFill/>
            </a:ln>
            <a:effectLst/>
          </c:spPr>
          <c:invertIfNegative val="0"/>
          <c:dLbls>
            <c:delete val="1"/>
          </c:dLbls>
          <c:cat>
            <c:strRef>
              <c:f>Sheet2!$F$61:$F$65</c:f>
              <c:strCache>
                <c:ptCount val="5"/>
                <c:pt idx="0">
                  <c:v>R01</c:v>
                </c:pt>
                <c:pt idx="1">
                  <c:v>R02</c:v>
                </c:pt>
                <c:pt idx="2">
                  <c:v>R03</c:v>
                </c:pt>
                <c:pt idx="3">
                  <c:v>R04</c:v>
                </c:pt>
                <c:pt idx="4">
                  <c:v>R05</c:v>
                </c:pt>
              </c:strCache>
            </c:strRef>
          </c:cat>
          <c:val>
            <c:numRef>
              <c:f>Sheet2!$J$61:$J$65</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BDBB-4317-A18A-841D890C0CFF}"/>
            </c:ext>
          </c:extLst>
        </c:ser>
        <c:dLbls>
          <c:dLblPos val="outEnd"/>
          <c:showLegendKey val="0"/>
          <c:showVal val="1"/>
          <c:showCatName val="0"/>
          <c:showSerName val="0"/>
          <c:showPercent val="0"/>
          <c:showBubbleSize val="0"/>
        </c:dLbls>
        <c:gapWidth val="25"/>
        <c:overlap val="100"/>
        <c:axId val="892712856"/>
        <c:axId val="892712496"/>
      </c:barChart>
      <c:catAx>
        <c:axId val="892712856"/>
        <c:scaling>
          <c:orientation val="minMax"/>
        </c:scaling>
        <c:delete val="1"/>
        <c:axPos val="l"/>
        <c:numFmt formatCode="General" sourceLinked="1"/>
        <c:majorTickMark val="out"/>
        <c:minorTickMark val="none"/>
        <c:tickLblPos val="nextTo"/>
        <c:crossAx val="892712496"/>
        <c:crosses val="autoZero"/>
        <c:auto val="1"/>
        <c:lblAlgn val="ctr"/>
        <c:lblOffset val="100"/>
        <c:noMultiLvlLbl val="0"/>
      </c:catAx>
      <c:valAx>
        <c:axId val="892712496"/>
        <c:scaling>
          <c:orientation val="minMax"/>
        </c:scaling>
        <c:delete val="1"/>
        <c:axPos val="b"/>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892712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Excel Project.xlsx]Sheet2!PivotTable5</c:name>
    <c:fmtId val="9"/>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Sheet2!$B$49:$B$50</c:f>
              <c:strCache>
                <c:ptCount val="1"/>
                <c:pt idx="0">
                  <c:v>Female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Sheet2!$A$51:$A$53</c:f>
              <c:strCache>
                <c:ptCount val="3"/>
                <c:pt idx="0">
                  <c:v>Cincinnati</c:v>
                </c:pt>
                <c:pt idx="1">
                  <c:v>Cleveland</c:v>
                </c:pt>
                <c:pt idx="2">
                  <c:v>Columbus</c:v>
                </c:pt>
              </c:strCache>
            </c:strRef>
          </c:cat>
          <c:val>
            <c:numRef>
              <c:f>Sheet2!$B$51:$B$53</c:f>
              <c:numCache>
                <c:formatCode>#,##0</c:formatCode>
                <c:ptCount val="3"/>
                <c:pt idx="0">
                  <c:v>30</c:v>
                </c:pt>
                <c:pt idx="1">
                  <c:v>57</c:v>
                </c:pt>
                <c:pt idx="2">
                  <c:v>29</c:v>
                </c:pt>
              </c:numCache>
            </c:numRef>
          </c:val>
          <c:extLst>
            <c:ext xmlns:c16="http://schemas.microsoft.com/office/drawing/2014/chart" uri="{C3380CC4-5D6E-409C-BE32-E72D297353CC}">
              <c16:uniqueId val="{00000000-7458-4FF1-AE2B-9EBF41AF098E}"/>
            </c:ext>
          </c:extLst>
        </c:ser>
        <c:ser>
          <c:idx val="1"/>
          <c:order val="1"/>
          <c:tx>
            <c:strRef>
              <c:f>Sheet2!$C$49:$C$50</c:f>
              <c:strCache>
                <c:ptCount val="1"/>
                <c:pt idx="0">
                  <c:v>Male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Sheet2!$A$51:$A$53</c:f>
              <c:strCache>
                <c:ptCount val="3"/>
                <c:pt idx="0">
                  <c:v>Cincinnati</c:v>
                </c:pt>
                <c:pt idx="1">
                  <c:v>Cleveland</c:v>
                </c:pt>
                <c:pt idx="2">
                  <c:v>Columbus</c:v>
                </c:pt>
              </c:strCache>
            </c:strRef>
          </c:cat>
          <c:val>
            <c:numRef>
              <c:f>Sheet2!$C$51:$C$53</c:f>
              <c:numCache>
                <c:formatCode>#,##0</c:formatCode>
                <c:ptCount val="3"/>
                <c:pt idx="0">
                  <c:v>26</c:v>
                </c:pt>
                <c:pt idx="1">
                  <c:v>13</c:v>
                </c:pt>
                <c:pt idx="2">
                  <c:v>34</c:v>
                </c:pt>
              </c:numCache>
            </c:numRef>
          </c:val>
          <c:extLst>
            <c:ext xmlns:c16="http://schemas.microsoft.com/office/drawing/2014/chart" uri="{C3380CC4-5D6E-409C-BE32-E72D297353CC}">
              <c16:uniqueId val="{00000001-7458-4FF1-AE2B-9EBF41AF098E}"/>
            </c:ext>
          </c:extLst>
        </c:ser>
        <c:dLbls>
          <c:showLegendKey val="0"/>
          <c:showVal val="0"/>
          <c:showCatName val="0"/>
          <c:showSerName val="0"/>
          <c:showPercent val="0"/>
          <c:showBubbleSize val="0"/>
        </c:dLbls>
        <c:gapWidth val="45"/>
        <c:overlap val="100"/>
        <c:axId val="892710552"/>
        <c:axId val="892706952"/>
      </c:barChart>
      <c:catAx>
        <c:axId val="892710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92706952"/>
        <c:crosses val="autoZero"/>
        <c:auto val="1"/>
        <c:lblAlgn val="ctr"/>
        <c:lblOffset val="100"/>
        <c:noMultiLvlLbl val="0"/>
      </c:catAx>
      <c:valAx>
        <c:axId val="89270695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92710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Excel Project.xlsx]Sheet2!rep rating</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Sheet2!$A$83:$A$88</c:f>
              <c:strCache>
                <c:ptCount val="5"/>
                <c:pt idx="0">
                  <c:v>2</c:v>
                </c:pt>
                <c:pt idx="1">
                  <c:v>3</c:v>
                </c:pt>
                <c:pt idx="2">
                  <c:v>4</c:v>
                </c:pt>
                <c:pt idx="3">
                  <c:v>5</c:v>
                </c:pt>
                <c:pt idx="4">
                  <c:v>1</c:v>
                </c:pt>
              </c:strCache>
            </c:strRef>
          </c:cat>
          <c:val>
            <c:numRef>
              <c:f>Sheet2!$B$83:$B$88</c:f>
              <c:numCache>
                <c:formatCode>#,##0</c:formatCode>
                <c:ptCount val="5"/>
                <c:pt idx="0">
                  <c:v>9</c:v>
                </c:pt>
                <c:pt idx="1">
                  <c:v>31</c:v>
                </c:pt>
                <c:pt idx="2">
                  <c:v>88</c:v>
                </c:pt>
                <c:pt idx="3">
                  <c:v>60</c:v>
                </c:pt>
                <c:pt idx="4">
                  <c:v>1</c:v>
                </c:pt>
              </c:numCache>
            </c:numRef>
          </c:val>
          <c:extLst>
            <c:ext xmlns:c16="http://schemas.microsoft.com/office/drawing/2014/chart" uri="{C3380CC4-5D6E-409C-BE32-E72D297353CC}">
              <c16:uniqueId val="{00000000-95B3-422C-B89C-96A88FC55A90}"/>
            </c:ext>
          </c:extLst>
        </c:ser>
        <c:dLbls>
          <c:showLegendKey val="0"/>
          <c:showVal val="0"/>
          <c:showCatName val="0"/>
          <c:showSerName val="0"/>
          <c:showPercent val="0"/>
          <c:showBubbleSize val="0"/>
        </c:dLbls>
        <c:gapWidth val="88"/>
        <c:overlap val="-27"/>
        <c:axId val="134330432"/>
        <c:axId val="653425216"/>
      </c:barChart>
      <c:catAx>
        <c:axId val="134330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425216"/>
        <c:crosses val="autoZero"/>
        <c:auto val="1"/>
        <c:lblAlgn val="ctr"/>
        <c:lblOffset val="100"/>
        <c:noMultiLvlLbl val="0"/>
      </c:catAx>
      <c:valAx>
        <c:axId val="6534252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433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Excel Project.xlsx]Sheet2!monthly trend</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41000">
                <a:schemeClr val="accent6">
                  <a:lumMod val="97000"/>
                </a:schemeClr>
              </a:gs>
              <a:gs pos="100000">
                <a:schemeClr val="accent5">
                  <a:lumMod val="60000"/>
                  <a:lumOff val="40000"/>
                  <a:alpha val="50000"/>
                </a:schemeClr>
              </a:gs>
            </a:gsLst>
            <a:lin ang="5400000" scaled="1"/>
          </a:gra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chemeClr val="bg1">
                <a:lumMod val="95000"/>
              </a:schemeClr>
            </a:solidFill>
            <a:ln w="1905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Sheet2!$C$21</c:f>
              <c:strCache>
                <c:ptCount val="1"/>
                <c:pt idx="0">
                  <c:v>Call Count2</c:v>
                </c:pt>
              </c:strCache>
            </c:strRef>
          </c:tx>
          <c:spPr>
            <a:gradFill>
              <a:gsLst>
                <a:gs pos="41000">
                  <a:schemeClr val="accent6">
                    <a:lumMod val="97000"/>
                  </a:schemeClr>
                </a:gs>
                <a:gs pos="100000">
                  <a:schemeClr val="accent5">
                    <a:lumMod val="60000"/>
                    <a:lumOff val="40000"/>
                    <a:alpha val="50000"/>
                  </a:schemeClr>
                </a:gs>
              </a:gsLst>
              <a:lin ang="5400000" scaled="1"/>
            </a:gradFill>
            <a:ln>
              <a:solidFill>
                <a:srgbClr val="C00000"/>
              </a:solidFill>
            </a:ln>
            <a:effectLst/>
          </c:spPr>
          <c:cat>
            <c:strRef>
              <c:f>Sheet2!$A$22:$A$34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Sheet2!$C$22:$C$34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3436-41EB-9388-4AD67D0FBBF0}"/>
            </c:ext>
          </c:extLst>
        </c:ser>
        <c:dLbls>
          <c:showLegendKey val="0"/>
          <c:showVal val="0"/>
          <c:showCatName val="0"/>
          <c:showSerName val="0"/>
          <c:showPercent val="0"/>
          <c:showBubbleSize val="0"/>
        </c:dLbls>
        <c:axId val="884073208"/>
        <c:axId val="884073568"/>
      </c:areaChart>
      <c:lineChart>
        <c:grouping val="standard"/>
        <c:varyColors val="0"/>
        <c:ser>
          <c:idx val="0"/>
          <c:order val="0"/>
          <c:tx>
            <c:strRef>
              <c:f>Sheet2!$B$21</c:f>
              <c:strCache>
                <c:ptCount val="1"/>
                <c:pt idx="0">
                  <c:v>Call Count</c:v>
                </c:pt>
              </c:strCache>
            </c:strRef>
          </c:tx>
          <c:spPr>
            <a:ln w="28575" cap="rnd">
              <a:solidFill>
                <a:srgbClr val="C00000"/>
              </a:solidFill>
              <a:round/>
            </a:ln>
            <a:effectLst/>
          </c:spPr>
          <c:marker>
            <c:symbol val="circle"/>
            <c:size val="5"/>
            <c:spPr>
              <a:solidFill>
                <a:schemeClr val="bg1">
                  <a:lumMod val="95000"/>
                </a:schemeClr>
              </a:solidFill>
              <a:ln w="19050">
                <a:solidFill>
                  <a:schemeClr val="tx1"/>
                </a:solidFill>
              </a:ln>
              <a:effectLst/>
            </c:spPr>
          </c:marker>
          <c:cat>
            <c:strRef>
              <c:f>Sheet2!$A$22:$A$34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Sheet2!$B$22:$B$34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3436-41EB-9388-4AD67D0FBBF0}"/>
            </c:ext>
          </c:extLst>
        </c:ser>
        <c:dLbls>
          <c:showLegendKey val="0"/>
          <c:showVal val="0"/>
          <c:showCatName val="0"/>
          <c:showSerName val="0"/>
          <c:showPercent val="0"/>
          <c:showBubbleSize val="0"/>
        </c:dLbls>
        <c:marker val="1"/>
        <c:smooth val="0"/>
        <c:axId val="884073208"/>
        <c:axId val="884073568"/>
      </c:lineChart>
      <c:catAx>
        <c:axId val="884073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73568"/>
        <c:crosses val="autoZero"/>
        <c:auto val="1"/>
        <c:lblAlgn val="ctr"/>
        <c:lblOffset val="100"/>
        <c:noMultiLvlLbl val="0"/>
      </c:catAx>
      <c:valAx>
        <c:axId val="884073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73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Excel Project.xlsx]Sheet2!weekly trend</c:name>
    <c:fmtId val="10"/>
  </c:pivotSource>
  <c:chart>
    <c:autoTitleDeleted val="1"/>
    <c:pivotFmts>
      <c:pivotFmt>
        <c:idx val="0"/>
        <c:spPr>
          <a:solidFill>
            <a:schemeClr val="accent5">
              <a:lumMod val="60000"/>
              <a:lumOff val="40000"/>
            </a:schemeClr>
          </a:solidFill>
          <a:ln>
            <a:solidFill>
              <a:srgbClr val="C00000">
                <a:alpha val="99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solidFill>
              <a:srgbClr val="C00000">
                <a:alpha val="99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rgbClr val="C00000">
                <a:alpha val="99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99808532476165"/>
          <c:y val="5.803918055989072E-2"/>
          <c:w val="0.69528441824479092"/>
          <c:h val="0.87231380276824044"/>
        </c:manualLayout>
      </c:layout>
      <c:barChart>
        <c:barDir val="bar"/>
        <c:grouping val="clustered"/>
        <c:varyColors val="0"/>
        <c:ser>
          <c:idx val="0"/>
          <c:order val="0"/>
          <c:tx>
            <c:strRef>
              <c:f>Sheet2!$B$38</c:f>
              <c:strCache>
                <c:ptCount val="1"/>
                <c:pt idx="0">
                  <c:v>Total</c:v>
                </c:pt>
              </c:strCache>
            </c:strRef>
          </c:tx>
          <c:spPr>
            <a:solidFill>
              <a:schemeClr val="accent5">
                <a:lumMod val="60000"/>
                <a:lumOff val="40000"/>
              </a:schemeClr>
            </a:solidFill>
            <a:ln>
              <a:solidFill>
                <a:srgbClr val="C00000">
                  <a:alpha val="99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Sheet2!$A$39:$A$46</c:f>
              <c:strCache>
                <c:ptCount val="7"/>
                <c:pt idx="0">
                  <c:v>Monday</c:v>
                </c:pt>
                <c:pt idx="1">
                  <c:v>Tuesday</c:v>
                </c:pt>
                <c:pt idx="2">
                  <c:v>Wednesday</c:v>
                </c:pt>
                <c:pt idx="3">
                  <c:v>Thursday</c:v>
                </c:pt>
                <c:pt idx="4">
                  <c:v>Friday</c:v>
                </c:pt>
                <c:pt idx="5">
                  <c:v>Saturday</c:v>
                </c:pt>
                <c:pt idx="6">
                  <c:v>Sunday</c:v>
                </c:pt>
              </c:strCache>
            </c:strRef>
          </c:cat>
          <c:val>
            <c:numRef>
              <c:f>Sheet2!$B$39:$B$46</c:f>
              <c:numCache>
                <c:formatCode>#,##0</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C06E-445F-8070-1EDAA5137F35}"/>
            </c:ext>
          </c:extLst>
        </c:ser>
        <c:dLbls>
          <c:showLegendKey val="0"/>
          <c:showVal val="0"/>
          <c:showCatName val="0"/>
          <c:showSerName val="0"/>
          <c:showPercent val="0"/>
          <c:showBubbleSize val="0"/>
        </c:dLbls>
        <c:gapWidth val="32"/>
        <c:axId val="889599944"/>
        <c:axId val="889600664"/>
      </c:barChart>
      <c:catAx>
        <c:axId val="8895999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600664"/>
        <c:crosses val="autoZero"/>
        <c:auto val="1"/>
        <c:lblAlgn val="ctr"/>
        <c:lblOffset val="100"/>
        <c:noMultiLvlLbl val="0"/>
      </c:catAx>
      <c:valAx>
        <c:axId val="889600664"/>
        <c:scaling>
          <c:orientation val="minMax"/>
        </c:scaling>
        <c:delete val="1"/>
        <c:axPos val="t"/>
        <c:numFmt formatCode="#,##0" sourceLinked="1"/>
        <c:majorTickMark val="none"/>
        <c:minorTickMark val="none"/>
        <c:tickLblPos val="nextTo"/>
        <c:crossAx val="889599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solidFill>
                  <a:schemeClr val="accent3">
                    <a:lumMod val="50000"/>
                  </a:schemeClr>
                </a:solidFill>
                <a:latin typeface="Aptos ExtraBold" panose="020B0004020202020204" pitchFamily="34" charset="0"/>
              </a:rPr>
              <a:t>Calls</a:t>
            </a:r>
            <a:r>
              <a:rPr lang="en-GB" sz="1800" b="1" baseline="0">
                <a:solidFill>
                  <a:schemeClr val="accent3">
                    <a:lumMod val="50000"/>
                  </a:schemeClr>
                </a:solidFill>
                <a:latin typeface="Aptos ExtraBold" panose="020B0004020202020204" pitchFamily="34" charset="0"/>
              </a:rPr>
              <a:t> Count</a:t>
            </a:r>
            <a:endParaRPr lang="en-GB" sz="1800" b="1">
              <a:solidFill>
                <a:schemeClr val="accent3">
                  <a:lumMod val="50000"/>
                </a:schemeClr>
              </a:solidFill>
              <a:latin typeface="Aptos ExtraBold" panose="020B0004020202020204" pitchFamily="34" charset="0"/>
            </a:endParaRPr>
          </a:p>
        </c:rich>
      </c:tx>
      <c:layout>
        <c:manualLayout>
          <c:xMode val="edge"/>
          <c:yMode val="edge"/>
          <c:x val="3.438932469310467E-2"/>
          <c:y val="2.1894664253081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Sheet2!$F$61:$F$65</c:f>
              <c:strCache>
                <c:ptCount val="5"/>
                <c:pt idx="0">
                  <c:v>R01</c:v>
                </c:pt>
                <c:pt idx="1">
                  <c:v>R02</c:v>
                </c:pt>
                <c:pt idx="2">
                  <c:v>R03</c:v>
                </c:pt>
                <c:pt idx="3">
                  <c:v>R04</c:v>
                </c:pt>
                <c:pt idx="4">
                  <c:v>R05</c:v>
                </c:pt>
              </c:strCache>
            </c:strRef>
          </c:cat>
          <c:val>
            <c:numRef>
              <c:f>Sheet2!$G$61:$G$65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7D6-4232-869C-7C12046CD58E}"/>
            </c:ext>
          </c:extLst>
        </c:ser>
        <c:ser>
          <c:idx val="1"/>
          <c:order val="1"/>
          <c:spPr>
            <a:gradFill>
              <a:gsLst>
                <a:gs pos="29000">
                  <a:schemeClr val="accent6">
                    <a:lumMod val="97000"/>
                  </a:schemeClr>
                </a:gs>
                <a:gs pos="100000">
                  <a:schemeClr val="accent5">
                    <a:lumMod val="60000"/>
                    <a:lumOff val="40000"/>
                    <a:alpha val="50000"/>
                  </a:schemeClr>
                </a:gs>
              </a:gsLst>
              <a:lin ang="7200000" scaled="0"/>
            </a:gradFill>
            <a:ln>
              <a:noFill/>
            </a:ln>
            <a:effectLst/>
          </c:spPr>
          <c:invertIfNegative val="0"/>
          <c:cat>
            <c:strRef>
              <c:f>Sheet2!$F$61:$F$65</c:f>
              <c:strCache>
                <c:ptCount val="5"/>
                <c:pt idx="0">
                  <c:v>R01</c:v>
                </c:pt>
                <c:pt idx="1">
                  <c:v>R02</c:v>
                </c:pt>
                <c:pt idx="2">
                  <c:v>R03</c:v>
                </c:pt>
                <c:pt idx="3">
                  <c:v>R04</c:v>
                </c:pt>
                <c:pt idx="4">
                  <c:v>R05</c:v>
                </c:pt>
              </c:strCache>
            </c:strRef>
          </c:cat>
          <c:val>
            <c:numRef>
              <c:f>Sheet2!$I$61:$I$65</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47D6-4232-869C-7C12046CD58E}"/>
            </c:ext>
          </c:extLst>
        </c:ser>
        <c:dLbls>
          <c:showLegendKey val="0"/>
          <c:showVal val="0"/>
          <c:showCatName val="0"/>
          <c:showSerName val="0"/>
          <c:showPercent val="0"/>
          <c:showBubbleSize val="0"/>
        </c:dLbls>
        <c:gapWidth val="25"/>
        <c:overlap val="100"/>
        <c:axId val="660918720"/>
        <c:axId val="660921600"/>
      </c:barChart>
      <c:catAx>
        <c:axId val="660918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21600"/>
        <c:crosses val="autoZero"/>
        <c:auto val="1"/>
        <c:lblAlgn val="ctr"/>
        <c:lblOffset val="100"/>
        <c:noMultiLvlLbl val="0"/>
      </c:catAx>
      <c:valAx>
        <c:axId val="660921600"/>
        <c:scaling>
          <c:orientation val="minMax"/>
        </c:scaling>
        <c:delete val="1"/>
        <c:axPos val="b"/>
        <c:numFmt formatCode="General" sourceLinked="1"/>
        <c:majorTickMark val="none"/>
        <c:minorTickMark val="none"/>
        <c:tickLblPos val="nextTo"/>
        <c:crossAx val="660918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a:solidFill>
                  <a:schemeClr val="accent6"/>
                </a:solidFill>
                <a:latin typeface="Aptos ExtraBold" panose="020B0004020202020204" pitchFamily="34" charset="0"/>
              </a:rPr>
              <a:t>Amount</a:t>
            </a:r>
          </a:p>
        </c:rich>
      </c:tx>
      <c:layout>
        <c:manualLayout>
          <c:xMode val="edge"/>
          <c:yMode val="edge"/>
          <c:x val="0.41510067486129787"/>
          <c:y val="2.19208221056244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numFmt formatCode="[&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Sheet2!$F$61:$F$65</c:f>
              <c:strCache>
                <c:ptCount val="5"/>
                <c:pt idx="0">
                  <c:v>R01</c:v>
                </c:pt>
                <c:pt idx="1">
                  <c:v>R02</c:v>
                </c:pt>
                <c:pt idx="2">
                  <c:v>R03</c:v>
                </c:pt>
                <c:pt idx="3">
                  <c:v>R04</c:v>
                </c:pt>
                <c:pt idx="4">
                  <c:v>R05</c:v>
                </c:pt>
              </c:strCache>
            </c:strRef>
          </c:cat>
          <c:val>
            <c:numRef>
              <c:f>Sheet2!$H$61:$H$65</c:f>
              <c:numCache>
                <c:formatCode>[$$-409]#,##0.00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9A1-40D1-A55A-FEC0CCED195D}"/>
            </c:ext>
          </c:extLst>
        </c:ser>
        <c:ser>
          <c:idx val="1"/>
          <c:order val="1"/>
          <c:spPr>
            <a:gradFill>
              <a:gsLst>
                <a:gs pos="29000">
                  <a:schemeClr val="accent3">
                    <a:lumMod val="75000"/>
                  </a:schemeClr>
                </a:gs>
                <a:gs pos="100000">
                  <a:schemeClr val="accent5">
                    <a:lumMod val="60000"/>
                    <a:lumOff val="40000"/>
                    <a:alpha val="50000"/>
                  </a:schemeClr>
                </a:gs>
              </a:gsLst>
              <a:lin ang="7200000" scaled="0"/>
            </a:gradFill>
            <a:ln>
              <a:noFill/>
            </a:ln>
            <a:effectLst/>
          </c:spPr>
          <c:invertIfNegative val="0"/>
          <c:dLbls>
            <c:delete val="1"/>
          </c:dLbls>
          <c:cat>
            <c:strRef>
              <c:f>Sheet2!$F$61:$F$65</c:f>
              <c:strCache>
                <c:ptCount val="5"/>
                <c:pt idx="0">
                  <c:v>R01</c:v>
                </c:pt>
                <c:pt idx="1">
                  <c:v>R02</c:v>
                </c:pt>
                <c:pt idx="2">
                  <c:v>R03</c:v>
                </c:pt>
                <c:pt idx="3">
                  <c:v>R04</c:v>
                </c:pt>
                <c:pt idx="4">
                  <c:v>R05</c:v>
                </c:pt>
              </c:strCache>
            </c:strRef>
          </c:cat>
          <c:val>
            <c:numRef>
              <c:f>Sheet2!$J$61:$J$65</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29A1-40D1-A55A-FEC0CCED195D}"/>
            </c:ext>
          </c:extLst>
        </c:ser>
        <c:dLbls>
          <c:dLblPos val="outEnd"/>
          <c:showLegendKey val="0"/>
          <c:showVal val="1"/>
          <c:showCatName val="0"/>
          <c:showSerName val="0"/>
          <c:showPercent val="0"/>
          <c:showBubbleSize val="0"/>
        </c:dLbls>
        <c:gapWidth val="25"/>
        <c:overlap val="100"/>
        <c:axId val="892712856"/>
        <c:axId val="892712496"/>
      </c:barChart>
      <c:catAx>
        <c:axId val="892712856"/>
        <c:scaling>
          <c:orientation val="minMax"/>
        </c:scaling>
        <c:delete val="1"/>
        <c:axPos val="l"/>
        <c:numFmt formatCode="General" sourceLinked="1"/>
        <c:majorTickMark val="out"/>
        <c:minorTickMark val="none"/>
        <c:tickLblPos val="nextTo"/>
        <c:crossAx val="892712496"/>
        <c:crosses val="autoZero"/>
        <c:auto val="1"/>
        <c:lblAlgn val="ctr"/>
        <c:lblOffset val="100"/>
        <c:noMultiLvlLbl val="0"/>
      </c:catAx>
      <c:valAx>
        <c:axId val="892712496"/>
        <c:scaling>
          <c:orientation val="minMax"/>
        </c:scaling>
        <c:delete val="1"/>
        <c:axPos val="b"/>
        <c:numFmt formatCode="[$$-409]#,##0.00" sourceLinked="1"/>
        <c:majorTickMark val="out"/>
        <c:minorTickMark val="none"/>
        <c:tickLblPos val="nextTo"/>
        <c:crossAx val="8927128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Excel Project.xlsx]Sheet2!PivotTable5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accent6"/>
                </a:solidFill>
                <a:latin typeface="Aptos ExtraBold" panose="020B0004020202020204" pitchFamily="34" charset="0"/>
              </a:rPr>
              <a:t>Female Vs Male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Sheet2!$B$49:$B$50</c:f>
              <c:strCache>
                <c:ptCount val="1"/>
                <c:pt idx="0">
                  <c:v>Female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Sheet2!$A$51:$A$53</c:f>
              <c:strCache>
                <c:ptCount val="3"/>
                <c:pt idx="0">
                  <c:v>Cincinnati</c:v>
                </c:pt>
                <c:pt idx="1">
                  <c:v>Cleveland</c:v>
                </c:pt>
                <c:pt idx="2">
                  <c:v>Columbus</c:v>
                </c:pt>
              </c:strCache>
            </c:strRef>
          </c:cat>
          <c:val>
            <c:numRef>
              <c:f>Sheet2!$B$51:$B$53</c:f>
              <c:numCache>
                <c:formatCode>#,##0</c:formatCode>
                <c:ptCount val="3"/>
                <c:pt idx="0">
                  <c:v>30</c:v>
                </c:pt>
                <c:pt idx="1">
                  <c:v>57</c:v>
                </c:pt>
                <c:pt idx="2">
                  <c:v>29</c:v>
                </c:pt>
              </c:numCache>
            </c:numRef>
          </c:val>
          <c:extLst>
            <c:ext xmlns:c16="http://schemas.microsoft.com/office/drawing/2014/chart" uri="{C3380CC4-5D6E-409C-BE32-E72D297353CC}">
              <c16:uniqueId val="{00000000-1994-4B45-B2EC-45EDD9439165}"/>
            </c:ext>
          </c:extLst>
        </c:ser>
        <c:ser>
          <c:idx val="1"/>
          <c:order val="1"/>
          <c:tx>
            <c:strRef>
              <c:f>Sheet2!$C$49:$C$50</c:f>
              <c:strCache>
                <c:ptCount val="1"/>
                <c:pt idx="0">
                  <c:v>Male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Sheet2!$A$51:$A$53</c:f>
              <c:strCache>
                <c:ptCount val="3"/>
                <c:pt idx="0">
                  <c:v>Cincinnati</c:v>
                </c:pt>
                <c:pt idx="1">
                  <c:v>Cleveland</c:v>
                </c:pt>
                <c:pt idx="2">
                  <c:v>Columbus</c:v>
                </c:pt>
              </c:strCache>
            </c:strRef>
          </c:cat>
          <c:val>
            <c:numRef>
              <c:f>Sheet2!$C$51:$C$53</c:f>
              <c:numCache>
                <c:formatCode>#,##0</c:formatCode>
                <c:ptCount val="3"/>
                <c:pt idx="0">
                  <c:v>26</c:v>
                </c:pt>
                <c:pt idx="1">
                  <c:v>13</c:v>
                </c:pt>
                <c:pt idx="2">
                  <c:v>34</c:v>
                </c:pt>
              </c:numCache>
            </c:numRef>
          </c:val>
          <c:extLst>
            <c:ext xmlns:c16="http://schemas.microsoft.com/office/drawing/2014/chart" uri="{C3380CC4-5D6E-409C-BE32-E72D297353CC}">
              <c16:uniqueId val="{00000001-1994-4B45-B2EC-45EDD9439165}"/>
            </c:ext>
          </c:extLst>
        </c:ser>
        <c:dLbls>
          <c:showLegendKey val="0"/>
          <c:showVal val="0"/>
          <c:showCatName val="0"/>
          <c:showSerName val="0"/>
          <c:showPercent val="0"/>
          <c:showBubbleSize val="0"/>
        </c:dLbls>
        <c:gapWidth val="45"/>
        <c:overlap val="100"/>
        <c:axId val="892710552"/>
        <c:axId val="892706952"/>
      </c:barChart>
      <c:catAx>
        <c:axId val="892710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92706952"/>
        <c:crosses val="autoZero"/>
        <c:auto val="1"/>
        <c:lblAlgn val="ctr"/>
        <c:lblOffset val="100"/>
        <c:noMultiLvlLbl val="0"/>
      </c:catAx>
      <c:valAx>
        <c:axId val="89270695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92710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Excel Project.xlsx]Sheet2!rep rating</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accent6"/>
                </a:solidFill>
                <a:latin typeface="Aptos ExtraBold" panose="020B0004020202020204" pitchFamily="34" charset="0"/>
              </a:rPr>
              <a:t>Rating</a:t>
            </a:r>
            <a:r>
              <a:rPr lang="en-GB" baseline="0">
                <a:solidFill>
                  <a:schemeClr val="accent6"/>
                </a:solidFill>
                <a:latin typeface="Aptos ExtraBold" panose="020B0004020202020204" pitchFamily="34" charset="0"/>
              </a:rPr>
              <a:t> Count</a:t>
            </a:r>
            <a:endParaRPr lang="en-GB">
              <a:solidFill>
                <a:schemeClr val="accent6"/>
              </a:solidFill>
              <a:latin typeface="Aptos ExtraBold"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Sheet2!$A$83:$A$88</c:f>
              <c:strCache>
                <c:ptCount val="5"/>
                <c:pt idx="0">
                  <c:v>2</c:v>
                </c:pt>
                <c:pt idx="1">
                  <c:v>3</c:v>
                </c:pt>
                <c:pt idx="2">
                  <c:v>4</c:v>
                </c:pt>
                <c:pt idx="3">
                  <c:v>5</c:v>
                </c:pt>
                <c:pt idx="4">
                  <c:v>1</c:v>
                </c:pt>
              </c:strCache>
            </c:strRef>
          </c:cat>
          <c:val>
            <c:numRef>
              <c:f>Sheet2!$B$83:$B$88</c:f>
              <c:numCache>
                <c:formatCode>#,##0</c:formatCode>
                <c:ptCount val="5"/>
                <c:pt idx="0">
                  <c:v>9</c:v>
                </c:pt>
                <c:pt idx="1">
                  <c:v>31</c:v>
                </c:pt>
                <c:pt idx="2">
                  <c:v>88</c:v>
                </c:pt>
                <c:pt idx="3">
                  <c:v>60</c:v>
                </c:pt>
                <c:pt idx="4">
                  <c:v>1</c:v>
                </c:pt>
              </c:numCache>
            </c:numRef>
          </c:val>
          <c:extLst>
            <c:ext xmlns:c16="http://schemas.microsoft.com/office/drawing/2014/chart" uri="{C3380CC4-5D6E-409C-BE32-E72D297353CC}">
              <c16:uniqueId val="{00000000-CD4B-424A-BE14-6A78315922EA}"/>
            </c:ext>
          </c:extLst>
        </c:ser>
        <c:dLbls>
          <c:showLegendKey val="0"/>
          <c:showVal val="0"/>
          <c:showCatName val="0"/>
          <c:showSerName val="0"/>
          <c:showPercent val="0"/>
          <c:showBubbleSize val="0"/>
        </c:dLbls>
        <c:gapWidth val="38"/>
        <c:overlap val="-27"/>
        <c:axId val="134330432"/>
        <c:axId val="653425216"/>
      </c:barChart>
      <c:catAx>
        <c:axId val="134330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425216"/>
        <c:crosses val="autoZero"/>
        <c:auto val="1"/>
        <c:lblAlgn val="ctr"/>
        <c:lblOffset val="100"/>
        <c:noMultiLvlLbl val="0"/>
      </c:catAx>
      <c:valAx>
        <c:axId val="6534252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433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6</xdr:col>
      <xdr:colOff>47625</xdr:colOff>
      <xdr:row>3</xdr:row>
      <xdr:rowOff>161925</xdr:rowOff>
    </xdr:from>
    <xdr:to>
      <xdr:col>7</xdr:col>
      <xdr:colOff>986570</xdr:colOff>
      <xdr:row>12</xdr:row>
      <xdr:rowOff>47625</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9FF66390-16EE-DEDA-2C1C-0BB329BD9B5F}"/>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4352192" y="711444"/>
              <a:ext cx="1827335" cy="15342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738187</xdr:colOff>
      <xdr:row>16</xdr:row>
      <xdr:rowOff>171452</xdr:rowOff>
    </xdr:from>
    <xdr:to>
      <xdr:col>7</xdr:col>
      <xdr:colOff>238125</xdr:colOff>
      <xdr:row>31</xdr:row>
      <xdr:rowOff>1</xdr:rowOff>
    </xdr:to>
    <xdr:graphicFrame macro="">
      <xdr:nvGraphicFramePr>
        <xdr:cNvPr id="3" name="Chart 2">
          <a:extLst>
            <a:ext uri="{FF2B5EF4-FFF2-40B4-BE49-F238E27FC236}">
              <a16:creationId xmlns:a16="http://schemas.microsoft.com/office/drawing/2014/main" id="{CC396532-ED20-6A1F-DDC8-B73800B50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714375</xdr:colOff>
      <xdr:row>37</xdr:row>
      <xdr:rowOff>38099</xdr:rowOff>
    </xdr:from>
    <xdr:to>
      <xdr:col>5</xdr:col>
      <xdr:colOff>1200151</xdr:colOff>
      <xdr:row>46</xdr:row>
      <xdr:rowOff>57149</xdr:rowOff>
    </xdr:to>
    <xdr:graphicFrame macro="">
      <xdr:nvGraphicFramePr>
        <xdr:cNvPr id="4" name="Chart 3">
          <a:extLst>
            <a:ext uri="{FF2B5EF4-FFF2-40B4-BE49-F238E27FC236}">
              <a16:creationId xmlns:a16="http://schemas.microsoft.com/office/drawing/2014/main" id="{9BAC3A95-719D-DA6C-C0C2-A89669110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1181467</xdr:colOff>
      <xdr:row>65</xdr:row>
      <xdr:rowOff>9118</xdr:rowOff>
    </xdr:from>
    <xdr:to>
      <xdr:col>15</xdr:col>
      <xdr:colOff>1182689</xdr:colOff>
      <xdr:row>80</xdr:row>
      <xdr:rowOff>4722</xdr:rowOff>
    </xdr:to>
    <xdr:graphicFrame macro="">
      <xdr:nvGraphicFramePr>
        <xdr:cNvPr id="7" name="Chart 6">
          <a:extLst>
            <a:ext uri="{FF2B5EF4-FFF2-40B4-BE49-F238E27FC236}">
              <a16:creationId xmlns:a16="http://schemas.microsoft.com/office/drawing/2014/main" id="{550AC157-0038-701C-A437-17F6F0D7E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37041</xdr:colOff>
      <xdr:row>48</xdr:row>
      <xdr:rowOff>120650</xdr:rowOff>
    </xdr:from>
    <xdr:to>
      <xdr:col>15</xdr:col>
      <xdr:colOff>814917</xdr:colOff>
      <xdr:row>63</xdr:row>
      <xdr:rowOff>165100</xdr:rowOff>
    </xdr:to>
    <xdr:graphicFrame macro="">
      <xdr:nvGraphicFramePr>
        <xdr:cNvPr id="8" name="Chart 7">
          <a:extLst>
            <a:ext uri="{FF2B5EF4-FFF2-40B4-BE49-F238E27FC236}">
              <a16:creationId xmlns:a16="http://schemas.microsoft.com/office/drawing/2014/main" id="{919E39F4-EDA1-B527-5C4D-B9CDFF470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200573</xdr:colOff>
      <xdr:row>46</xdr:row>
      <xdr:rowOff>121260</xdr:rowOff>
    </xdr:from>
    <xdr:to>
      <xdr:col>6</xdr:col>
      <xdr:colOff>1153990</xdr:colOff>
      <xdr:row>55</xdr:row>
      <xdr:rowOff>0</xdr:rowOff>
    </xdr:to>
    <xdr:graphicFrame macro="">
      <xdr:nvGraphicFramePr>
        <xdr:cNvPr id="9" name="Chart 8">
          <a:extLst>
            <a:ext uri="{FF2B5EF4-FFF2-40B4-BE49-F238E27FC236}">
              <a16:creationId xmlns:a16="http://schemas.microsoft.com/office/drawing/2014/main" id="{85ED3FAF-59EC-D087-3A29-FFA486124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366346</xdr:colOff>
      <xdr:row>74</xdr:row>
      <xdr:rowOff>146538</xdr:rowOff>
    </xdr:from>
    <xdr:to>
      <xdr:col>6</xdr:col>
      <xdr:colOff>714375</xdr:colOff>
      <xdr:row>86</xdr:row>
      <xdr:rowOff>126023</xdr:rowOff>
    </xdr:to>
    <xdr:graphicFrame macro="">
      <xdr:nvGraphicFramePr>
        <xdr:cNvPr id="10" name="Chart 9">
          <a:extLst>
            <a:ext uri="{FF2B5EF4-FFF2-40B4-BE49-F238E27FC236}">
              <a16:creationId xmlns:a16="http://schemas.microsoft.com/office/drawing/2014/main" id="{130EBC54-C152-F5F5-85D4-3F1A1C68C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651866</xdr:colOff>
      <xdr:row>37</xdr:row>
      <xdr:rowOff>23812</xdr:rowOff>
    </xdr:to>
    <xdr:grpSp>
      <xdr:nvGrpSpPr>
        <xdr:cNvPr id="39" name="Group 38">
          <a:extLst>
            <a:ext uri="{FF2B5EF4-FFF2-40B4-BE49-F238E27FC236}">
              <a16:creationId xmlns:a16="http://schemas.microsoft.com/office/drawing/2014/main" id="{390DA3BC-5AEF-2AEC-8863-CBE28F67640A}"/>
            </a:ext>
          </a:extLst>
        </xdr:cNvPr>
        <xdr:cNvGrpSpPr/>
      </xdr:nvGrpSpPr>
      <xdr:grpSpPr>
        <a:xfrm>
          <a:off x="617113" y="523204"/>
          <a:ext cx="1336056" cy="6436418"/>
          <a:chOff x="619125" y="571500"/>
          <a:chExt cx="1342429" cy="6500812"/>
        </a:xfrm>
      </xdr:grpSpPr>
      <xdr:grpSp>
        <xdr:nvGrpSpPr>
          <xdr:cNvPr id="15" name="Group 14">
            <a:extLst>
              <a:ext uri="{FF2B5EF4-FFF2-40B4-BE49-F238E27FC236}">
                <a16:creationId xmlns:a16="http://schemas.microsoft.com/office/drawing/2014/main" id="{AC67D8A1-D554-B68E-D9F3-65A2E834567F}"/>
              </a:ext>
            </a:extLst>
          </xdr:cNvPr>
          <xdr:cNvGrpSpPr/>
        </xdr:nvGrpSpPr>
        <xdr:grpSpPr>
          <a:xfrm>
            <a:off x="654843" y="3298031"/>
            <a:ext cx="1306711" cy="928688"/>
            <a:chOff x="693539" y="559593"/>
            <a:chExt cx="1306711" cy="869157"/>
          </a:xfrm>
        </xdr:grpSpPr>
        <xdr:sp macro="" textlink="Sheet2!C4">
          <xdr:nvSpPr>
            <xdr:cNvPr id="17" name="Rectangle: Rounded Corners 16">
              <a:extLst>
                <a:ext uri="{FF2B5EF4-FFF2-40B4-BE49-F238E27FC236}">
                  <a16:creationId xmlns:a16="http://schemas.microsoft.com/office/drawing/2014/main" id="{A2F72575-8D7B-FCD6-EAAB-21F45A8E856B}"/>
                </a:ext>
              </a:extLst>
            </xdr:cNvPr>
            <xdr:cNvSpPr/>
          </xdr:nvSpPr>
          <xdr:spPr>
            <a:xfrm>
              <a:off x="693539" y="565547"/>
              <a:ext cx="1306711" cy="863203"/>
            </a:xfrm>
            <a:prstGeom prst="roundRect">
              <a:avLst/>
            </a:prstGeom>
            <a:ln>
              <a:noFill/>
            </a:ln>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A6627C44-843A-4234-9F92-6CAF5CA34AF2}" type="TxLink">
                <a:rPr lang="en-US" sz="1400" b="0" i="0" u="none" strike="noStrike">
                  <a:solidFill>
                    <a:schemeClr val="bg1"/>
                  </a:solidFill>
                  <a:latin typeface="Aptos ExtraBold" panose="020B0004020202020204" pitchFamily="34" charset="0"/>
                  <a:ea typeface="+mn-ea"/>
                  <a:cs typeface="+mn-cs"/>
                </a:rPr>
                <a:pPr marL="0" indent="0" algn="ctr"/>
                <a:t>89,850</a:t>
              </a:fld>
              <a:endParaRPr lang="en-GB" sz="1400" b="0" i="0" u="none" strike="noStrike">
                <a:solidFill>
                  <a:schemeClr val="bg1"/>
                </a:solidFill>
                <a:latin typeface="Aptos ExtraBold" panose="020B0004020202020204" pitchFamily="34" charset="0"/>
                <a:ea typeface="+mn-ea"/>
                <a:cs typeface="+mn-cs"/>
              </a:endParaRPr>
            </a:p>
          </xdr:txBody>
        </xdr:sp>
        <xdr:sp macro="" textlink="">
          <xdr:nvSpPr>
            <xdr:cNvPr id="18" name="TextBox 17">
              <a:extLst>
                <a:ext uri="{FF2B5EF4-FFF2-40B4-BE49-F238E27FC236}">
                  <a16:creationId xmlns:a16="http://schemas.microsoft.com/office/drawing/2014/main" id="{C8F66F52-34F2-9B63-36CB-4F5E20C69667}"/>
                </a:ext>
              </a:extLst>
            </xdr:cNvPr>
            <xdr:cNvSpPr txBox="1"/>
          </xdr:nvSpPr>
          <xdr:spPr>
            <a:xfrm>
              <a:off x="797719" y="559593"/>
              <a:ext cx="1107281" cy="273844"/>
            </a:xfrm>
            <a:prstGeom prst="rect">
              <a:avLst/>
            </a:prstGeom>
            <a:noFill/>
            <a:ln>
              <a:noFill/>
            </a:ln>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400" b="0" i="0" u="none" strike="noStrike">
                  <a:solidFill>
                    <a:schemeClr val="bg1"/>
                  </a:solidFill>
                  <a:latin typeface="Aptos ExtraBold" panose="020B0004020202020204" pitchFamily="34" charset="0"/>
                  <a:ea typeface="+mn-ea"/>
                  <a:cs typeface="+mn-cs"/>
                </a:rPr>
                <a:t>Duration</a:t>
              </a:r>
            </a:p>
            <a:p>
              <a:pPr marL="0" indent="0" algn="ctr"/>
              <a:endParaRPr lang="en-GB" sz="1400" b="0" i="0" u="none" strike="noStrike">
                <a:solidFill>
                  <a:schemeClr val="bg1"/>
                </a:solidFill>
                <a:latin typeface="Aptos ExtraBold" panose="020B0004020202020204" pitchFamily="34" charset="0"/>
                <a:ea typeface="+mn-ea"/>
                <a:cs typeface="+mn-cs"/>
              </a:endParaRPr>
            </a:p>
          </xdr:txBody>
        </xdr:sp>
      </xdr:grpSp>
      <xdr:sp macro="" textlink="Sheet2!C13">
        <xdr:nvSpPr>
          <xdr:cNvPr id="16" name="TextBox 15">
            <a:extLst>
              <a:ext uri="{FF2B5EF4-FFF2-40B4-BE49-F238E27FC236}">
                <a16:creationId xmlns:a16="http://schemas.microsoft.com/office/drawing/2014/main" id="{AE1DE084-93B7-E821-27CA-97416986AFE3}"/>
              </a:ext>
            </a:extLst>
          </xdr:cNvPr>
          <xdr:cNvSpPr txBox="1"/>
        </xdr:nvSpPr>
        <xdr:spPr>
          <a:xfrm>
            <a:off x="735210" y="3857626"/>
            <a:ext cx="113109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A5BCE74-0992-4389-85C1-917ED3F938F9}" type="TxLink">
              <a:rPr lang="en-US" sz="1400" b="0" i="0" u="none" strike="noStrike">
                <a:solidFill>
                  <a:schemeClr val="accent6">
                    <a:lumMod val="20000"/>
                    <a:lumOff val="80000"/>
                  </a:schemeClr>
                </a:solidFill>
                <a:latin typeface="ADLaM Display" panose="020F0502020204030204" pitchFamily="2" charset="0"/>
                <a:ea typeface="ADLaM Display" panose="020F0502020204030204" pitchFamily="2" charset="0"/>
                <a:cs typeface="ADLaM Display" panose="020F0502020204030204" pitchFamily="2" charset="0"/>
              </a:rPr>
              <a:pPr marL="0" indent="0" algn="ctr"/>
              <a:t>16,834</a:t>
            </a:fld>
            <a:endParaRPr lang="en-GB" sz="1400" b="0" i="0" u="none" strike="noStrike">
              <a:solidFill>
                <a:schemeClr val="accent6">
                  <a:lumMod val="20000"/>
                  <a:lumOff val="80000"/>
                </a:schemeClr>
              </a:solidFill>
              <a:latin typeface="ADLaM Display" panose="020F0502020204030204" pitchFamily="2" charset="0"/>
              <a:ea typeface="ADLaM Display" panose="020F0502020204030204" pitchFamily="2" charset="0"/>
              <a:cs typeface="ADLaM Display" panose="020F0502020204030204" pitchFamily="2" charset="0"/>
            </a:endParaRPr>
          </a:p>
        </xdr:txBody>
      </xdr:sp>
      <xdr:sp macro="" textlink="Sheet2!D4">
        <xdr:nvSpPr>
          <xdr:cNvPr id="22" name="Rectangle: Rounded Corners 21">
            <a:extLst>
              <a:ext uri="{FF2B5EF4-FFF2-40B4-BE49-F238E27FC236}">
                <a16:creationId xmlns:a16="http://schemas.microsoft.com/office/drawing/2014/main" id="{B1A00BAA-750A-D9FF-E73C-FEBEBCCE3B3D}"/>
              </a:ext>
            </a:extLst>
          </xdr:cNvPr>
          <xdr:cNvSpPr/>
        </xdr:nvSpPr>
        <xdr:spPr>
          <a:xfrm>
            <a:off x="631031" y="4816078"/>
            <a:ext cx="1306711" cy="922734"/>
          </a:xfrm>
          <a:prstGeom prst="roundRect">
            <a:avLst/>
          </a:prstGeom>
          <a:ln>
            <a:noFill/>
          </a:ln>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9C81E1CB-8671-4A68-ABCE-27B40C8CCC3A}" type="TxLink">
              <a:rPr lang="en-US" sz="2800" b="0" i="0" u="none" strike="noStrike">
                <a:solidFill>
                  <a:schemeClr val="bg1"/>
                </a:solidFill>
                <a:latin typeface="Aptos ExtraBold" panose="020B0004020202020204" pitchFamily="34" charset="0"/>
                <a:ea typeface="+mn-ea"/>
                <a:cs typeface="+mn-cs"/>
              </a:rPr>
              <a:pPr marL="0" indent="0" algn="ctr"/>
              <a:t>3.9</a:t>
            </a:fld>
            <a:endParaRPr lang="en-GB" sz="2800" b="0" i="0" u="none" strike="noStrike">
              <a:solidFill>
                <a:schemeClr val="bg1"/>
              </a:solidFill>
              <a:latin typeface="Aptos ExtraBold" panose="020B0004020202020204" pitchFamily="34" charset="0"/>
              <a:ea typeface="+mn-ea"/>
              <a:cs typeface="+mn-cs"/>
            </a:endParaRPr>
          </a:p>
        </xdr:txBody>
      </xdr:sp>
      <xdr:sp macro="" textlink="">
        <xdr:nvSpPr>
          <xdr:cNvPr id="23" name="TextBox 22">
            <a:extLst>
              <a:ext uri="{FF2B5EF4-FFF2-40B4-BE49-F238E27FC236}">
                <a16:creationId xmlns:a16="http://schemas.microsoft.com/office/drawing/2014/main" id="{7B93719C-358F-9B02-8A19-BADE5A9647E8}"/>
              </a:ext>
            </a:extLst>
          </xdr:cNvPr>
          <xdr:cNvSpPr txBox="1"/>
        </xdr:nvSpPr>
        <xdr:spPr>
          <a:xfrm>
            <a:off x="723305" y="4857750"/>
            <a:ext cx="1107281"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chemeClr val="bg1"/>
                </a:solidFill>
                <a:latin typeface="Aptos ExtraBold" panose="020B0004020202020204" pitchFamily="34" charset="0"/>
              </a:rPr>
              <a:t>Avg Rating</a:t>
            </a:r>
          </a:p>
        </xdr:txBody>
      </xdr:sp>
      <xdr:sp macro="" textlink="Sheet2!D13">
        <xdr:nvSpPr>
          <xdr:cNvPr id="21" name="TextBox 20">
            <a:extLst>
              <a:ext uri="{FF2B5EF4-FFF2-40B4-BE49-F238E27FC236}">
                <a16:creationId xmlns:a16="http://schemas.microsoft.com/office/drawing/2014/main" id="{E6E271AE-F7BB-4CC1-5CC9-44A6CA777734}"/>
              </a:ext>
            </a:extLst>
          </xdr:cNvPr>
          <xdr:cNvSpPr txBox="1"/>
        </xdr:nvSpPr>
        <xdr:spPr>
          <a:xfrm>
            <a:off x="699492" y="5357813"/>
            <a:ext cx="113109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1F5AF8B-A411-4508-8794-1E507E3FB746}" type="TxLink">
              <a:rPr lang="en-US" sz="1400" b="0" i="0" u="none" strike="noStrike">
                <a:solidFill>
                  <a:schemeClr val="accent6">
                    <a:lumMod val="20000"/>
                    <a:lumOff val="80000"/>
                  </a:schemeClr>
                </a:solidFill>
                <a:latin typeface="ADLaM Display" panose="020F0502020204030204" pitchFamily="2" charset="0"/>
                <a:ea typeface="ADLaM Display" panose="020F0502020204030204" pitchFamily="2" charset="0"/>
                <a:cs typeface="ADLaM Display" panose="020F0502020204030204" pitchFamily="2" charset="0"/>
              </a:rPr>
              <a:pPr marL="0" indent="0" algn="ctr"/>
              <a:t>3.9</a:t>
            </a:fld>
            <a:endParaRPr lang="en-GB" sz="1400" b="0" i="0" u="none" strike="noStrike">
              <a:solidFill>
                <a:schemeClr val="accent6">
                  <a:lumMod val="20000"/>
                  <a:lumOff val="80000"/>
                </a:schemeClr>
              </a:solidFill>
              <a:latin typeface="ADLaM Display" panose="020F0502020204030204" pitchFamily="2" charset="0"/>
              <a:ea typeface="ADLaM Display" panose="020F0502020204030204" pitchFamily="2" charset="0"/>
              <a:cs typeface="ADLaM Display" panose="020F0502020204030204" pitchFamily="2" charset="0"/>
            </a:endParaRPr>
          </a:p>
        </xdr:txBody>
      </xdr:sp>
      <xdr:grpSp>
        <xdr:nvGrpSpPr>
          <xdr:cNvPr id="25" name="Group 24">
            <a:extLst>
              <a:ext uri="{FF2B5EF4-FFF2-40B4-BE49-F238E27FC236}">
                <a16:creationId xmlns:a16="http://schemas.microsoft.com/office/drawing/2014/main" id="{18993C3A-5EC5-C1AF-ABEA-16F0024E5483}"/>
              </a:ext>
            </a:extLst>
          </xdr:cNvPr>
          <xdr:cNvGrpSpPr/>
        </xdr:nvGrpSpPr>
        <xdr:grpSpPr>
          <a:xfrm>
            <a:off x="619125" y="6137672"/>
            <a:ext cx="1306711" cy="922734"/>
            <a:chOff x="693539" y="565547"/>
            <a:chExt cx="1306711" cy="863203"/>
          </a:xfrm>
        </xdr:grpSpPr>
        <xdr:sp macro="" textlink="Sheet2!E4">
          <xdr:nvSpPr>
            <xdr:cNvPr id="27" name="Rectangle: Rounded Corners 26">
              <a:extLst>
                <a:ext uri="{FF2B5EF4-FFF2-40B4-BE49-F238E27FC236}">
                  <a16:creationId xmlns:a16="http://schemas.microsoft.com/office/drawing/2014/main" id="{DACFF905-3142-252A-A7A3-9AFD4AABA3A6}"/>
                </a:ext>
              </a:extLst>
            </xdr:cNvPr>
            <xdr:cNvSpPr/>
          </xdr:nvSpPr>
          <xdr:spPr>
            <a:xfrm>
              <a:off x="693539" y="565547"/>
              <a:ext cx="1306711" cy="863203"/>
            </a:xfrm>
            <a:prstGeom prst="roundRect">
              <a:avLst/>
            </a:prstGeom>
            <a:ln>
              <a:noFill/>
            </a:ln>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320F50FB-A6CD-44A0-881A-9CD124718E03}" type="TxLink">
                <a:rPr lang="en-US" sz="2800" b="0" i="0" u="none" strike="noStrike">
                  <a:solidFill>
                    <a:schemeClr val="bg1"/>
                  </a:solidFill>
                  <a:latin typeface="Aptos ExtraBold" panose="020B0004020202020204" pitchFamily="34" charset="0"/>
                  <a:ea typeface="+mn-ea"/>
                  <a:cs typeface="+mn-cs"/>
                </a:rPr>
                <a:pPr marL="0" indent="0" algn="ctr"/>
                <a:t>307</a:t>
              </a:fld>
              <a:endParaRPr lang="en-GB" sz="2800" b="0" i="0" u="none" strike="noStrike">
                <a:solidFill>
                  <a:schemeClr val="bg1"/>
                </a:solidFill>
                <a:latin typeface="Aptos ExtraBold" panose="020B0004020202020204" pitchFamily="34" charset="0"/>
                <a:ea typeface="+mn-ea"/>
                <a:cs typeface="+mn-cs"/>
              </a:endParaRPr>
            </a:p>
          </xdr:txBody>
        </xdr:sp>
        <xdr:sp macro="" textlink="">
          <xdr:nvSpPr>
            <xdr:cNvPr id="28" name="TextBox 27">
              <a:extLst>
                <a:ext uri="{FF2B5EF4-FFF2-40B4-BE49-F238E27FC236}">
                  <a16:creationId xmlns:a16="http://schemas.microsoft.com/office/drawing/2014/main" id="{C0D31913-F1C6-6DB6-2DDC-5516052DDA42}"/>
                </a:ext>
              </a:extLst>
            </xdr:cNvPr>
            <xdr:cNvSpPr txBox="1"/>
          </xdr:nvSpPr>
          <xdr:spPr>
            <a:xfrm>
              <a:off x="750094" y="619125"/>
              <a:ext cx="1205507" cy="202406"/>
            </a:xfrm>
            <a:prstGeom prst="rect">
              <a:avLst/>
            </a:prstGeom>
            <a:noFill/>
            <a:ln>
              <a:noFill/>
            </a:ln>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100" b="0" i="0" u="none" strike="noStrike">
                  <a:solidFill>
                    <a:schemeClr val="bg1"/>
                  </a:solidFill>
                  <a:latin typeface="Aptos ExtraBold" panose="020B0004020202020204" pitchFamily="34" charset="0"/>
                  <a:ea typeface="+mn-ea"/>
                  <a:cs typeface="+mn-cs"/>
                </a:rPr>
                <a:t>Happy Callers</a:t>
              </a:r>
            </a:p>
          </xdr:txBody>
        </xdr:sp>
      </xdr:grpSp>
      <xdr:sp macro="" textlink="Sheet2!E13">
        <xdr:nvSpPr>
          <xdr:cNvPr id="26" name="TextBox 25">
            <a:extLst>
              <a:ext uri="{FF2B5EF4-FFF2-40B4-BE49-F238E27FC236}">
                <a16:creationId xmlns:a16="http://schemas.microsoft.com/office/drawing/2014/main" id="{D3E18685-B723-82E3-8276-B691E4E4CEE5}"/>
              </a:ext>
            </a:extLst>
          </xdr:cNvPr>
          <xdr:cNvSpPr txBox="1"/>
        </xdr:nvSpPr>
        <xdr:spPr>
          <a:xfrm>
            <a:off x="699492" y="6691313"/>
            <a:ext cx="113109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146D607-80D1-4F31-BEB8-6CFD5F001A01}" type="TxLink">
              <a:rPr lang="en-US" sz="1400" b="0" i="0" u="none" strike="noStrike">
                <a:solidFill>
                  <a:schemeClr val="accent6">
                    <a:lumMod val="20000"/>
                    <a:lumOff val="80000"/>
                  </a:schemeClr>
                </a:solidFill>
                <a:latin typeface="ADLaM Display" panose="020F0502020204030204" pitchFamily="2" charset="0"/>
                <a:ea typeface="ADLaM Display" panose="020F0502020204030204" pitchFamily="2" charset="0"/>
                <a:cs typeface="ADLaM Display" panose="020F0502020204030204" pitchFamily="2" charset="0"/>
              </a:rPr>
              <a:pPr marL="0" indent="0" algn="ctr"/>
              <a:t>60</a:t>
            </a:fld>
            <a:endParaRPr lang="en-GB" sz="1400" b="0" i="0" u="none" strike="noStrike">
              <a:solidFill>
                <a:schemeClr val="accent6">
                  <a:lumMod val="20000"/>
                  <a:lumOff val="80000"/>
                </a:schemeClr>
              </a:solidFill>
              <a:latin typeface="ADLaM Display" panose="020F0502020204030204" pitchFamily="2" charset="0"/>
              <a:ea typeface="ADLaM Display" panose="020F0502020204030204" pitchFamily="2" charset="0"/>
              <a:cs typeface="ADLaM Display" panose="020F0502020204030204" pitchFamily="2" charset="0"/>
            </a:endParaRPr>
          </a:p>
        </xdr:txBody>
      </xdr:sp>
      <xdr:grpSp>
        <xdr:nvGrpSpPr>
          <xdr:cNvPr id="30" name="Group 29">
            <a:extLst>
              <a:ext uri="{FF2B5EF4-FFF2-40B4-BE49-F238E27FC236}">
                <a16:creationId xmlns:a16="http://schemas.microsoft.com/office/drawing/2014/main" id="{60353456-D00A-D732-699A-871644C94234}"/>
              </a:ext>
            </a:extLst>
          </xdr:cNvPr>
          <xdr:cNvGrpSpPr/>
        </xdr:nvGrpSpPr>
        <xdr:grpSpPr>
          <a:xfrm>
            <a:off x="619125" y="571500"/>
            <a:ext cx="1306711" cy="964406"/>
            <a:chOff x="693539" y="523875"/>
            <a:chExt cx="1306711" cy="904875"/>
          </a:xfrm>
        </xdr:grpSpPr>
        <xdr:sp macro="" textlink="Sheet2!A4">
          <xdr:nvSpPr>
            <xdr:cNvPr id="32" name="Rectangle: Rounded Corners 31">
              <a:extLst>
                <a:ext uri="{FF2B5EF4-FFF2-40B4-BE49-F238E27FC236}">
                  <a16:creationId xmlns:a16="http://schemas.microsoft.com/office/drawing/2014/main" id="{969F2072-90B5-832E-45AE-74096B21188E}"/>
                </a:ext>
              </a:extLst>
            </xdr:cNvPr>
            <xdr:cNvSpPr/>
          </xdr:nvSpPr>
          <xdr:spPr>
            <a:xfrm>
              <a:off x="693539" y="565547"/>
              <a:ext cx="1306711" cy="863203"/>
            </a:xfrm>
            <a:prstGeom prst="roundRect">
              <a:avLst/>
            </a:prstGeom>
            <a:ln>
              <a:noFill/>
            </a:ln>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C58A1FF1-9E59-43CC-9D1A-5B7F2EE691F2}" type="TxLink">
                <a:rPr lang="en-US" sz="2800" b="0" i="0" u="none" strike="noStrike">
                  <a:solidFill>
                    <a:schemeClr val="bg1"/>
                  </a:solidFill>
                  <a:latin typeface="Aptos ExtraBold" panose="020B0004020202020204" pitchFamily="34" charset="0"/>
                </a:rPr>
                <a:pPr algn="ctr"/>
                <a:t>1,000</a:t>
              </a:fld>
              <a:endParaRPr lang="en-GB" sz="2800">
                <a:solidFill>
                  <a:schemeClr val="bg1"/>
                </a:solidFill>
                <a:latin typeface="Aptos ExtraBold" panose="020B0004020202020204" pitchFamily="34" charset="0"/>
              </a:endParaRPr>
            </a:p>
          </xdr:txBody>
        </xdr:sp>
        <xdr:sp macro="" textlink="">
          <xdr:nvSpPr>
            <xdr:cNvPr id="33" name="TextBox 32">
              <a:extLst>
                <a:ext uri="{FF2B5EF4-FFF2-40B4-BE49-F238E27FC236}">
                  <a16:creationId xmlns:a16="http://schemas.microsoft.com/office/drawing/2014/main" id="{E12793DF-57B1-CE1B-EBB0-EC2A01D81D5E}"/>
                </a:ext>
              </a:extLst>
            </xdr:cNvPr>
            <xdr:cNvSpPr txBox="1"/>
          </xdr:nvSpPr>
          <xdr:spPr>
            <a:xfrm>
              <a:off x="797719" y="523875"/>
              <a:ext cx="1107281"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solidFill>
                    <a:schemeClr val="bg1"/>
                  </a:solidFill>
                  <a:latin typeface="Aptos ExtraBold" panose="020B0004020202020204" pitchFamily="34" charset="0"/>
                </a:rPr>
                <a:t>Calls</a:t>
              </a:r>
            </a:p>
          </xdr:txBody>
        </xdr:sp>
      </xdr:grpSp>
      <xdr:sp macro="" textlink="Sheet2!A13">
        <xdr:nvSpPr>
          <xdr:cNvPr id="31" name="TextBox 30">
            <a:extLst>
              <a:ext uri="{FF2B5EF4-FFF2-40B4-BE49-F238E27FC236}">
                <a16:creationId xmlns:a16="http://schemas.microsoft.com/office/drawing/2014/main" id="{B56BC2E5-461D-7942-42D8-5DE09621CD2D}"/>
              </a:ext>
            </a:extLst>
          </xdr:cNvPr>
          <xdr:cNvSpPr txBox="1"/>
        </xdr:nvSpPr>
        <xdr:spPr>
          <a:xfrm>
            <a:off x="699492" y="1166812"/>
            <a:ext cx="113109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768546-21EE-4283-9DC1-7A8F318E0DEF}" type="TxLink">
              <a:rPr lang="en-US" sz="1400" b="0" i="0" u="none" strike="noStrike">
                <a:solidFill>
                  <a:schemeClr val="accent6">
                    <a:lumMod val="20000"/>
                    <a:lumOff val="80000"/>
                  </a:schemeClr>
                </a:solidFill>
                <a:latin typeface="ADLaM Display" panose="020F0502020204030204" pitchFamily="2" charset="0"/>
                <a:ea typeface="ADLaM Display" panose="020F0502020204030204" pitchFamily="2" charset="0"/>
                <a:cs typeface="ADLaM Display" panose="020F0502020204030204" pitchFamily="2" charset="0"/>
              </a:rPr>
              <a:pPr algn="ctr"/>
              <a:t>218</a:t>
            </a:fld>
            <a:endParaRPr lang="en-GB" sz="1400">
              <a:solidFill>
                <a:schemeClr val="accent6">
                  <a:lumMod val="20000"/>
                  <a:lumOff val="80000"/>
                </a:schemeClr>
              </a:solidFill>
              <a:latin typeface="ADLaM Display" panose="020F0502020204030204" pitchFamily="2" charset="0"/>
              <a:ea typeface="ADLaM Display" panose="020F0502020204030204" pitchFamily="2" charset="0"/>
              <a:cs typeface="ADLaM Display" panose="020F0502020204030204" pitchFamily="2" charset="0"/>
            </a:endParaRPr>
          </a:p>
        </xdr:txBody>
      </xdr:sp>
      <xdr:sp macro="" textlink="Sheet2!B4">
        <xdr:nvSpPr>
          <xdr:cNvPr id="37" name="Rectangle: Rounded Corners 36">
            <a:extLst>
              <a:ext uri="{FF2B5EF4-FFF2-40B4-BE49-F238E27FC236}">
                <a16:creationId xmlns:a16="http://schemas.microsoft.com/office/drawing/2014/main" id="{BD1CAEE2-6118-EE38-4139-AB63A959FF4B}"/>
              </a:ext>
            </a:extLst>
          </xdr:cNvPr>
          <xdr:cNvSpPr/>
        </xdr:nvSpPr>
        <xdr:spPr>
          <a:xfrm>
            <a:off x="619125" y="1946672"/>
            <a:ext cx="1306711" cy="922735"/>
          </a:xfrm>
          <a:prstGeom prst="roundRect">
            <a:avLst/>
          </a:prstGeom>
          <a:ln>
            <a:noFill/>
          </a:ln>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EDC4FB3B-502A-425A-8752-07A0742CEDDF}" type="TxLink">
              <a:rPr lang="en-US" sz="1800" b="0" i="0" u="none" strike="noStrike">
                <a:solidFill>
                  <a:schemeClr val="bg1"/>
                </a:solidFill>
                <a:latin typeface="Aptos ExtraBold" panose="020B0004020202020204" pitchFamily="34" charset="0"/>
                <a:ea typeface="+mn-ea"/>
                <a:cs typeface="+mn-cs"/>
              </a:rPr>
              <a:pPr marL="0" indent="0" algn="ctr"/>
              <a:t>$96,623</a:t>
            </a:fld>
            <a:endParaRPr lang="en-GB" sz="1800" b="0" i="0" u="none" strike="noStrike">
              <a:solidFill>
                <a:schemeClr val="bg1"/>
              </a:solidFill>
              <a:latin typeface="Aptos ExtraBold" panose="020B0004020202020204" pitchFamily="34" charset="0"/>
              <a:ea typeface="+mn-ea"/>
              <a:cs typeface="+mn-cs"/>
            </a:endParaRPr>
          </a:p>
        </xdr:txBody>
      </xdr:sp>
      <xdr:sp macro="" textlink="">
        <xdr:nvSpPr>
          <xdr:cNvPr id="38" name="TextBox 37">
            <a:extLst>
              <a:ext uri="{FF2B5EF4-FFF2-40B4-BE49-F238E27FC236}">
                <a16:creationId xmlns:a16="http://schemas.microsoft.com/office/drawing/2014/main" id="{0BC16FA9-6DD1-A08F-C6C8-CCF079F49085}"/>
              </a:ext>
            </a:extLst>
          </xdr:cNvPr>
          <xdr:cNvSpPr txBox="1"/>
        </xdr:nvSpPr>
        <xdr:spPr>
          <a:xfrm>
            <a:off x="723305" y="1905000"/>
            <a:ext cx="1107281"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solidFill>
                  <a:schemeClr val="bg1"/>
                </a:solidFill>
                <a:latin typeface="Aptos ExtraBold" panose="020B0004020202020204" pitchFamily="34" charset="0"/>
              </a:rPr>
              <a:t>Amount</a:t>
            </a:r>
          </a:p>
        </xdr:txBody>
      </xdr:sp>
      <xdr:sp macro="" textlink="Sheet2!B13">
        <xdr:nvSpPr>
          <xdr:cNvPr id="36" name="TextBox 35">
            <a:extLst>
              <a:ext uri="{FF2B5EF4-FFF2-40B4-BE49-F238E27FC236}">
                <a16:creationId xmlns:a16="http://schemas.microsoft.com/office/drawing/2014/main" id="{3E1C8244-7A67-103B-C830-85EF2F1032C6}"/>
              </a:ext>
            </a:extLst>
          </xdr:cNvPr>
          <xdr:cNvSpPr txBox="1"/>
        </xdr:nvSpPr>
        <xdr:spPr>
          <a:xfrm>
            <a:off x="699492" y="2500313"/>
            <a:ext cx="113109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138E841-E6E7-491A-BF29-17EDE21CC16A}" type="TxLink">
              <a:rPr lang="en-US" sz="1400" b="0" i="0" u="none" strike="noStrike">
                <a:solidFill>
                  <a:schemeClr val="accent6">
                    <a:lumMod val="20000"/>
                    <a:lumOff val="80000"/>
                  </a:schemeClr>
                </a:solidFill>
                <a:latin typeface="ADLaM Display" panose="020F0502020204030204" pitchFamily="2" charset="0"/>
                <a:ea typeface="ADLaM Display" panose="020F0502020204030204" pitchFamily="2" charset="0"/>
                <a:cs typeface="ADLaM Display" panose="020F0502020204030204" pitchFamily="2" charset="0"/>
              </a:rPr>
              <a:pPr marL="0" indent="0" algn="ctr"/>
              <a:t>$18,415</a:t>
            </a:fld>
            <a:endParaRPr lang="en-GB" sz="1400" b="0" i="0" u="none" strike="noStrike">
              <a:solidFill>
                <a:schemeClr val="accent6">
                  <a:lumMod val="20000"/>
                  <a:lumOff val="80000"/>
                </a:schemeClr>
              </a:solidFill>
              <a:latin typeface="ADLaM Display" panose="020F0502020204030204" pitchFamily="2" charset="0"/>
              <a:ea typeface="ADLaM Display" panose="020F0502020204030204" pitchFamily="2" charset="0"/>
              <a:cs typeface="ADLaM Display" panose="020F0502020204030204" pitchFamily="2" charset="0"/>
            </a:endParaRPr>
          </a:p>
        </xdr:txBody>
      </xdr:sp>
    </xdr:grpSp>
    <xdr:clientData/>
  </xdr:twoCellAnchor>
  <xdr:twoCellAnchor>
    <xdr:from>
      <xdr:col>5</xdr:col>
      <xdr:colOff>0</xdr:colOff>
      <xdr:row>3</xdr:row>
      <xdr:rowOff>0</xdr:rowOff>
    </xdr:from>
    <xdr:to>
      <xdr:col>11</xdr:col>
      <xdr:colOff>282454</xdr:colOff>
      <xdr:row>16</xdr:row>
      <xdr:rowOff>0</xdr:rowOff>
    </xdr:to>
    <xdr:graphicFrame macro="">
      <xdr:nvGraphicFramePr>
        <xdr:cNvPr id="40" name="Chart 39">
          <a:extLst>
            <a:ext uri="{FF2B5EF4-FFF2-40B4-BE49-F238E27FC236}">
              <a16:creationId xmlns:a16="http://schemas.microsoft.com/office/drawing/2014/main" id="{614C21C1-DAAD-4601-B454-51F6BE619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559714</xdr:colOff>
      <xdr:row>17</xdr:row>
      <xdr:rowOff>176375</xdr:rowOff>
    </xdr:from>
    <xdr:to>
      <xdr:col>14</xdr:col>
      <xdr:colOff>377976</xdr:colOff>
      <xdr:row>27</xdr:row>
      <xdr:rowOff>143982</xdr:rowOff>
    </xdr:to>
    <mc:AlternateContent xmlns:mc="http://schemas.openxmlformats.org/markup-compatibility/2006">
      <mc:Choice xmlns:a14="http://schemas.microsoft.com/office/drawing/2010/main" Requires="a14">
        <xdr:graphicFrame macro="">
          <xdr:nvGraphicFramePr>
            <xdr:cNvPr id="41" name="Representative 1">
              <a:extLst>
                <a:ext uri="{FF2B5EF4-FFF2-40B4-BE49-F238E27FC236}">
                  <a16:creationId xmlns:a16="http://schemas.microsoft.com/office/drawing/2014/main" id="{0BFB9886-04CB-4787-A0A1-CC08727AE92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6999151" y="3141199"/>
              <a:ext cx="1870832" cy="17116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291757</xdr:colOff>
      <xdr:row>3</xdr:row>
      <xdr:rowOff>60067</xdr:rowOff>
    </xdr:from>
    <xdr:to>
      <xdr:col>14</xdr:col>
      <xdr:colOff>394729</xdr:colOff>
      <xdr:row>15</xdr:row>
      <xdr:rowOff>85811</xdr:rowOff>
    </xdr:to>
    <xdr:graphicFrame macro="">
      <xdr:nvGraphicFramePr>
        <xdr:cNvPr id="42" name="Chart 41">
          <a:extLst>
            <a:ext uri="{FF2B5EF4-FFF2-40B4-BE49-F238E27FC236}">
              <a16:creationId xmlns:a16="http://schemas.microsoft.com/office/drawing/2014/main" id="{F9C759A4-9D5D-480F-8305-56E6853E4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17</xdr:row>
      <xdr:rowOff>39809</xdr:rowOff>
    </xdr:from>
    <xdr:to>
      <xdr:col>9</xdr:col>
      <xdr:colOff>0</xdr:colOff>
      <xdr:row>37</xdr:row>
      <xdr:rowOff>0</xdr:rowOff>
    </xdr:to>
    <xdr:graphicFrame macro="">
      <xdr:nvGraphicFramePr>
        <xdr:cNvPr id="46" name="Chart 45">
          <a:extLst>
            <a:ext uri="{FF2B5EF4-FFF2-40B4-BE49-F238E27FC236}">
              <a16:creationId xmlns:a16="http://schemas.microsoft.com/office/drawing/2014/main" id="{23D781FE-6FF1-4A75-9A30-E2B435F09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xdr:colOff>
      <xdr:row>17</xdr:row>
      <xdr:rowOff>43961</xdr:rowOff>
    </xdr:from>
    <xdr:to>
      <xdr:col>11</xdr:col>
      <xdr:colOff>527538</xdr:colOff>
      <xdr:row>37</xdr:row>
      <xdr:rowOff>-1</xdr:rowOff>
    </xdr:to>
    <xdr:graphicFrame macro="">
      <xdr:nvGraphicFramePr>
        <xdr:cNvPr id="47" name="Chart 46">
          <a:extLst>
            <a:ext uri="{FF2B5EF4-FFF2-40B4-BE49-F238E27FC236}">
              <a16:creationId xmlns:a16="http://schemas.microsoft.com/office/drawing/2014/main" id="{FA5BE1CA-D9E2-4629-9E8B-8A3AC70A7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17</xdr:row>
      <xdr:rowOff>38100</xdr:rowOff>
    </xdr:from>
    <xdr:to>
      <xdr:col>11</xdr:col>
      <xdr:colOff>542925</xdr:colOff>
      <xdr:row>36</xdr:row>
      <xdr:rowOff>171450</xdr:rowOff>
    </xdr:to>
    <xdr:sp macro="" textlink="">
      <xdr:nvSpPr>
        <xdr:cNvPr id="48" name="Rectangle 47">
          <a:extLst>
            <a:ext uri="{FF2B5EF4-FFF2-40B4-BE49-F238E27FC236}">
              <a16:creationId xmlns:a16="http://schemas.microsoft.com/office/drawing/2014/main" id="{F8EE6937-0621-E0E4-B625-20D5C70E39A3}"/>
            </a:ext>
          </a:extLst>
        </xdr:cNvPr>
        <xdr:cNvSpPr/>
      </xdr:nvSpPr>
      <xdr:spPr>
        <a:xfrm>
          <a:off x="2343150" y="3114675"/>
          <a:ext cx="4657725" cy="35718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520110</xdr:colOff>
      <xdr:row>2</xdr:row>
      <xdr:rowOff>143983</xdr:rowOff>
    </xdr:from>
    <xdr:to>
      <xdr:col>18</xdr:col>
      <xdr:colOff>0</xdr:colOff>
      <xdr:row>16</xdr:row>
      <xdr:rowOff>0</xdr:rowOff>
    </xdr:to>
    <xdr:graphicFrame macro="">
      <xdr:nvGraphicFramePr>
        <xdr:cNvPr id="49" name="Chart 48">
          <a:extLst>
            <a:ext uri="{FF2B5EF4-FFF2-40B4-BE49-F238E27FC236}">
              <a16:creationId xmlns:a16="http://schemas.microsoft.com/office/drawing/2014/main" id="{F932CB29-DD83-4FCC-BF59-E7EDB5F7A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177210</xdr:colOff>
      <xdr:row>2</xdr:row>
      <xdr:rowOff>166133</xdr:rowOff>
    </xdr:from>
    <xdr:to>
      <xdr:col>20</xdr:col>
      <xdr:colOff>719912</xdr:colOff>
      <xdr:row>15</xdr:row>
      <xdr:rowOff>132906</xdr:rowOff>
    </xdr:to>
    <xdr:graphicFrame macro="">
      <xdr:nvGraphicFramePr>
        <xdr:cNvPr id="50" name="Chart 49">
          <a:extLst>
            <a:ext uri="{FF2B5EF4-FFF2-40B4-BE49-F238E27FC236}">
              <a16:creationId xmlns:a16="http://schemas.microsoft.com/office/drawing/2014/main" id="{3AB9D99D-DAB3-4F9D-8BF2-D6B870728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38.582380555556" backgroundQuery="1" createdVersion="8" refreshedVersion="8" minRefreshableVersion="3" recordCount="0" supportSubquery="1" supportAdvancedDrill="1" xr:uid="{3A6F412C-510E-462E-98B6-011C0D957CAC}">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38.493321180555" backgroundQuery="1" createdVersion="8" refreshedVersion="8" minRefreshableVersion="3" recordCount="0" supportSubquery="1" supportAdvancedDrill="1" xr:uid="{B5DBC51D-2D91-4176-8874-2A0D998EAC8C}">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38.67576701389" backgroundQuery="1" createdVersion="8" refreshedVersion="8" minRefreshableVersion="3" recordCount="0" supportSubquery="1" supportAdvancedDrill="1" xr:uid="{FD96495D-5A93-4AA4-8BD2-1D05E2BFFF89}">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38.718597106483" backgroundQuery="1" createdVersion="8" refreshedVersion="8" minRefreshableVersion="3" recordCount="0" supportSubquery="1" supportAdvancedDrill="1" xr:uid="{4C3C1E57-FEB1-4F5B-ADDA-0C7C08161BA5}">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38.718597685183" backgroundQuery="1" createdVersion="8" refreshedVersion="8" minRefreshableVersion="3" recordCount="0" supportSubquery="1" supportAdvancedDrill="1" xr:uid="{EB1A23F7-77BB-48AA-BFC6-56585ABE7F15}">
  <cacheSource type="external" connectionId="1"/>
  <cacheFields count="4">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38.718598148145" backgroundQuery="1" createdVersion="8" refreshedVersion="8" minRefreshableVersion="3" recordCount="0" supportSubquery="1" supportAdvancedDrill="1" xr:uid="{0A9AFB60-C459-423C-8E77-BAAD209F2BF5}">
  <cacheSource type="external" connectionId="1"/>
  <cacheFields count="4">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38.718598495368" backgroundQuery="1" createdVersion="8" refreshedVersion="8" minRefreshableVersion="3" recordCount="0" supportSubquery="1" supportAdvancedDrill="1" xr:uid="{241EBBC4-6AD4-48C1-A7D6-715A6FD6FAAD}">
  <cacheSource type="external" connectionId="1"/>
  <cacheFields count="3">
    <cacheField name="[calls].[Representative].[Representative]" caption="Representative" numFmtId="0" hierarchy="3" level="1">
      <sharedItems count="1">
        <s v="R01"/>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38.718598842592" backgroundQuery="1" createdVersion="8" refreshedVersion="8" minRefreshableVersion="3" recordCount="0" supportSubquery="1" supportAdvancedDrill="1" xr:uid="{AC12D274-2054-491D-BDA4-561B5F0947B5}">
  <cacheSource type="external" connectionId="1"/>
  <cacheFields count="5">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3"/>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4"/>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38.718599189815" backgroundQuery="1" createdVersion="8" refreshedVersion="8" minRefreshableVersion="3" recordCount="0" supportSubquery="1" supportAdvancedDrill="1" xr:uid="{04CC8C85-AC45-4720-9A9A-05A4825A6A1B}">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38.49331377315" backgroundQuery="1" createdVersion="3" refreshedVersion="8" minRefreshableVersion="3" recordCount="0" supportSubquery="1" supportAdvancedDrill="1" xr:uid="{33634CD1-0F7D-4AAC-B9A6-E9ED44D2DD3C}">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54491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01434-DC54-42B2-AABB-97C12B0779A3}" name="PivotTable18" cacheId="97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90:F109"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5">
    <i>
      <x/>
    </i>
    <i>
      <x v="1"/>
    </i>
    <i>
      <x v="2"/>
    </i>
    <i>
      <x v="3"/>
    </i>
    <i>
      <x v="4"/>
    </i>
  </colItems>
  <dataFields count="1">
    <dataField name="Sum of Purchase Amount" fld="3" baseField="0" baseItem="0"/>
  </dataFields>
  <formats count="5">
    <format dxfId="5">
      <pivotArea collapsedLevelsAreSubtotals="1" fieldPosition="0">
        <references count="3">
          <reference field="0" count="0" selected="0"/>
          <reference field="1" count="1" selected="0">
            <x v="0"/>
          </reference>
          <reference field="2" count="4">
            <x v="0"/>
            <x v="1"/>
            <x v="2"/>
            <x v="3"/>
          </reference>
        </references>
      </pivotArea>
    </format>
    <format dxfId="4">
      <pivotArea collapsedLevelsAreSubtotals="1" fieldPosition="0">
        <references count="2">
          <reference field="0" count="0" selected="0"/>
          <reference field="1" count="1">
            <x v="1"/>
          </reference>
        </references>
      </pivotArea>
    </format>
    <format dxfId="3">
      <pivotArea collapsedLevelsAreSubtotals="1" fieldPosition="0">
        <references count="3">
          <reference field="0" count="0" selected="0"/>
          <reference field="1" count="1" selected="0">
            <x v="1"/>
          </reference>
          <reference field="2" count="6">
            <x v="4"/>
            <x v="5"/>
            <x v="6"/>
            <x v="7"/>
            <x v="8"/>
            <x v="9"/>
          </reference>
        </references>
      </pivotArea>
    </format>
    <format dxfId="2">
      <pivotArea collapsedLevelsAreSubtotals="1" fieldPosition="0">
        <references count="2">
          <reference field="0" count="0" selected="0"/>
          <reference field="1" count="1">
            <x v="2"/>
          </reference>
        </references>
      </pivotArea>
    </format>
    <format dxfId="1">
      <pivotArea collapsedLevelsAreSubtotals="1" fieldPosition="0">
        <references count="3">
          <reference field="0" count="0" selected="0"/>
          <reference field="1" count="1" selected="0">
            <x v="2"/>
          </reference>
          <reference field="2" count="4">
            <x v="10"/>
            <x v="11"/>
            <x v="12"/>
            <x v="13"/>
          </reference>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8E7667-B4C2-48F8-BA68-AF7FDE0D9BA9}" name="rep rating" cacheId="10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2:B88" firstHeaderRow="1" firstDataRow="1" firstDataCol="1"/>
  <pivotFields count="3">
    <pivotField axis="axisRow" allDrilled="1" subtotalTop="0" showAll="0" defaultSubtotal="0" defaultAttributeDrillState="1">
      <items count="5">
        <item x="1"/>
        <item x="2"/>
        <item x="3"/>
        <item x="4"/>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A4BA06-55FB-4E45-B648-AA54D140589E}" name="highlight rep" cacheId="105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2:C73"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1">
    <i>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2C2E0E-1BAE-4DE9-8AEC-3881999F38A1}" name="reps pivot" cacheId="9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C6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3EDC96-32C7-4910-BE0D-9225870643AD}" name="PivotTable5" cacheId="10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49:C53" firstHeaderRow="1" firstDataRow="2" firstDataCol="1"/>
  <pivotFields count="5">
    <pivotField allDrilled="1" subtotalTop="0" showAll="0" dataSourceSort="1" defaultSubtotal="0" defaultAttributeDrillState="1"/>
    <pivotField allDrilled="1" subtotalTop="0" showAll="0" dataSourceSort="1" defaultSubtotal="0" defaultAttributeDrillState="1">
      <items count="12">
        <item x="0"/>
        <item x="1"/>
        <item x="2"/>
        <item x="3"/>
        <item n="May" x="4"/>
        <item x="5"/>
        <item x="6"/>
        <item x="7"/>
        <item x="8"/>
        <item x="9"/>
        <item x="10"/>
        <item x="11"/>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x v="2"/>
    </i>
  </rowItems>
  <colFields count="1">
    <field x="3"/>
  </colFields>
  <colItems count="2">
    <i>
      <x/>
    </i>
    <i>
      <x v="1"/>
    </i>
  </colItems>
  <dataFields count="1">
    <dataField fld="4" subtotal="count" baseField="0" baseItem="0"/>
  </dataFields>
  <chartFormats count="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3" format="5" series="1">
      <pivotArea type="data" outline="0" fieldPosition="0">
        <references count="2">
          <reference field="4294967294" count="1" selected="0">
            <x v="0"/>
          </reference>
          <reference field="3" count="1" selected="0">
            <x v="1"/>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082808-291D-415D-8D37-CA4A66A0E740}" name="weekly trend" cacheId="10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8:B46" firstHeaderRow="1" firstDataRow="1" firstDataCol="1"/>
  <pivotFields count="4">
    <pivotField allDrilled="1" subtotalTop="0" showAll="0" dataSourceSort="1" defaultSubtotal="0" defaultAttributeDrillState="1"/>
    <pivotField allDrilled="1" subtotalTop="0" showAll="0" dataSourceSort="1" defaultSubtotal="0" defaultAttributeDrillState="1">
      <items count="12">
        <item x="0"/>
        <item x="1"/>
        <item x="2"/>
        <item x="3"/>
        <item n="May" x="4"/>
        <item x="5"/>
        <item x="6"/>
        <item x="7"/>
        <item x="8"/>
        <item x="9"/>
        <item x="10"/>
        <item x="11"/>
      </items>
    </pivotField>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fld="3"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284AD1-F6FE-4632-A609-DF24C7AEAA0A}" name="monthly trend" cacheId="10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C34"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2">
        <item x="0"/>
        <item x="1"/>
        <item x="2"/>
        <item x="3"/>
        <item n="May" x="4"/>
        <item x="5"/>
        <item x="6"/>
        <item x="7"/>
        <item x="8"/>
        <item x="9"/>
        <item x="10"/>
        <item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3" subtotal="count" baseField="0" baseItem="0">
      <extLst>
        <ext xmlns:x14="http://schemas.microsoft.com/office/spreadsheetml/2009/9/main" uri="{E15A36E0-9728-4e99-A89B-3F7291B0FE68}">
          <x14:dataField sourceField="2" uniqueName="[__Xl2].[Measures].[Call Count]"/>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7CDC67-3AC2-4D74-989A-280F9004EBE2}" name="rep pivot" cacheId="10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4886ED-D68B-44CD-BD25-9D421495B260}" name="summary pivot" cacheId="9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3444FBD-45A3-490A-B04D-364C5037B709}" sourceName="[calls].[Representative]">
  <pivotTables>
    <pivotTable tabId="6" name="rep pivot"/>
    <pivotTable tabId="6" name="monthly trend"/>
    <pivotTable tabId="6" name="weekly trend"/>
    <pivotTable tabId="6" name="highlight rep"/>
    <pivotTable tabId="6" name="PivotTable5"/>
    <pivotTable tabId="6" name="rep rating"/>
  </pivotTables>
  <data>
    <olap pivotCacheId="173544918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F02A4A5-64A0-4EB8-A418-AC0E7EA3F18E}" cache="Slicer_Representative" caption="Representative" level="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94F20087-19AB-4863-85E4-370DD4C3A686}" cache="Slicer_Representative" caption="Representative" level="1" style="SlicerStyleDark5 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1"/>
    <tableColumn id="5" xr3:uid="{5A35565E-8707-4DED-AD15-A0669D67B382}" name="Date of Call" dataDxfId="20"/>
    <tableColumn id="6" xr3:uid="{F2E4F158-B41F-47BC-8DF8-DFCADFEE4E40}" name="Purchase Amount"/>
    <tableColumn id="7" xr3:uid="{04B291B5-47BD-4F78-8FD8-D1551CCA6BD9}" name="Satisfaction Rating"/>
    <tableColumn id="8" xr3:uid="{6E4123C0-0B17-43B8-A142-A1E540CE974C}" name="FY" dataDxfId="19">
      <calculatedColumnFormula>IF(MONTH(calls[[#This Row],[Date of Call]])&lt;=6, YEAR(calls[[#This Row],[Date of Call]]), YEAR(calls[[#This Row],[Date of Call]])+1)</calculatedColumnFormula>
    </tableColumn>
    <tableColumn id="9" xr3:uid="{199FA271-5E9B-46CE-9BC6-2801F92CD17E}" name="Day of week" dataDxfId="18">
      <calculatedColumnFormula>TEXT(calls[[#This Row],[Date of Call]],"DDDD")</calculatedColumnFormula>
    </tableColumn>
    <tableColumn id="10" xr3:uid="{328CDB09-95B8-4D5E-9ED9-EF0D363735A1}" name="Duration Bucket" dataDxfId="17">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6">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5" headerRowBorderDxfId="14" tableBorderDxfId="13" totalsRowBorderDxfId="12">
  <autoFilter ref="Q3:T18" xr:uid="{27158F51-A707-4171-8A04-81FB0AABCBA5}"/>
  <tableColumns count="4">
    <tableColumn id="1" xr3:uid="{02688061-6A8C-4E23-B7FF-D00CD8B58CAC}" name="Customer ID" dataDxfId="11"/>
    <tableColumn id="2" xr3:uid="{771678B6-DB44-426B-9874-B4E421A440D5}" name="Gedner" dataDxfId="10"/>
    <tableColumn id="3" xr3:uid="{B0D41C62-587E-494D-B49A-603F2C05F8D3}" name="Age" dataDxfId="9"/>
    <tableColumn id="4" xr3:uid="{663F92D6-FE31-4D81-9E01-8D066DDC8A88}" name="City" dataDxfId="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Congenial Black"/>
        <a:ea typeface=""/>
        <a:cs typeface=""/>
      </a:majorFont>
      <a:minorFont>
        <a:latin typeface="Footlight MT Light"/>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D100F-7B60-44D7-9644-7C5DF89C7244}">
  <dimension ref="A3:M109"/>
  <sheetViews>
    <sheetView topLeftCell="A64" zoomScale="104" zoomScaleNormal="104" workbookViewId="0">
      <selection activeCell="I79" sqref="I79"/>
    </sheetView>
  </sheetViews>
  <sheetFormatPr defaultRowHeight="14.25" x14ac:dyDescent="0.2"/>
  <cols>
    <col min="1" max="1" width="12.875" bestFit="1" customWidth="1"/>
    <col min="2" max="2" width="10.375" bestFit="1" customWidth="1"/>
    <col min="3" max="3" width="5.5" bestFit="1" customWidth="1"/>
    <col min="4" max="4" width="11.375" bestFit="1" customWidth="1"/>
    <col min="5" max="5" width="7.625" bestFit="1" customWidth="1"/>
    <col min="6" max="6" width="8.75" bestFit="1" customWidth="1"/>
    <col min="7" max="7" width="11.625" bestFit="1" customWidth="1"/>
    <col min="8" max="8" width="16.125" bestFit="1" customWidth="1"/>
    <col min="9" max="9" width="19.25" customWidth="1"/>
    <col min="10" max="12" width="16.125" bestFit="1" customWidth="1"/>
    <col min="13" max="13" width="11.625" bestFit="1" customWidth="1"/>
    <col min="14" max="158" width="16.125" bestFit="1" customWidth="1"/>
    <col min="159" max="159" width="11.625" bestFit="1" customWidth="1"/>
  </cols>
  <sheetData>
    <row r="3" spans="1:5" x14ac:dyDescent="0.2">
      <c r="A3" t="s">
        <v>1040</v>
      </c>
      <c r="B3" t="s">
        <v>1041</v>
      </c>
      <c r="C3" t="s">
        <v>1042</v>
      </c>
      <c r="D3" t="s">
        <v>1043</v>
      </c>
      <c r="E3" t="s">
        <v>1044</v>
      </c>
    </row>
    <row r="4" spans="1:5" x14ac:dyDescent="0.2">
      <c r="A4" s="22">
        <v>1000</v>
      </c>
      <c r="B4" s="21">
        <v>96623</v>
      </c>
      <c r="C4" s="22">
        <v>89850</v>
      </c>
      <c r="D4" s="23">
        <v>3.8854000000000033</v>
      </c>
      <c r="E4" s="22">
        <v>307</v>
      </c>
    </row>
    <row r="12" spans="1:5" x14ac:dyDescent="0.2">
      <c r="A12" t="s">
        <v>1040</v>
      </c>
      <c r="B12" t="s">
        <v>1041</v>
      </c>
      <c r="C12" t="s">
        <v>1042</v>
      </c>
      <c r="D12" t="s">
        <v>1043</v>
      </c>
      <c r="E12" t="s">
        <v>1044</v>
      </c>
    </row>
    <row r="13" spans="1:5" x14ac:dyDescent="0.2">
      <c r="A13" s="22">
        <v>189</v>
      </c>
      <c r="B13" s="21">
        <v>18415</v>
      </c>
      <c r="C13" s="22">
        <v>16834</v>
      </c>
      <c r="D13" s="23">
        <v>3.9227513227513247</v>
      </c>
      <c r="E13" s="22">
        <v>60</v>
      </c>
    </row>
    <row r="21" spans="1:3" x14ac:dyDescent="0.2">
      <c r="A21" s="24" t="s">
        <v>1059</v>
      </c>
      <c r="B21" t="s">
        <v>1040</v>
      </c>
      <c r="C21" t="s">
        <v>1060</v>
      </c>
    </row>
    <row r="22" spans="1:3" x14ac:dyDescent="0.2">
      <c r="A22" s="26" t="s">
        <v>1047</v>
      </c>
      <c r="B22" s="22">
        <v>16</v>
      </c>
      <c r="C22" s="22">
        <v>16</v>
      </c>
    </row>
    <row r="23" spans="1:3" x14ac:dyDescent="0.2">
      <c r="A23" s="26" t="s">
        <v>1048</v>
      </c>
      <c r="B23" s="22">
        <v>14</v>
      </c>
      <c r="C23" s="22">
        <v>14</v>
      </c>
    </row>
    <row r="24" spans="1:3" x14ac:dyDescent="0.2">
      <c r="A24" s="26" t="s">
        <v>1049</v>
      </c>
      <c r="B24" s="22">
        <v>26</v>
      </c>
      <c r="C24" s="22">
        <v>26</v>
      </c>
    </row>
    <row r="25" spans="1:3" x14ac:dyDescent="0.2">
      <c r="A25" s="26" t="s">
        <v>1050</v>
      </c>
      <c r="B25" s="22">
        <v>29</v>
      </c>
      <c r="C25" s="22">
        <v>29</v>
      </c>
    </row>
    <row r="26" spans="1:3" x14ac:dyDescent="0.2">
      <c r="A26" s="26" t="s">
        <v>1051</v>
      </c>
      <c r="B26" s="22">
        <v>17</v>
      </c>
      <c r="C26" s="22">
        <v>17</v>
      </c>
    </row>
    <row r="27" spans="1:3" x14ac:dyDescent="0.2">
      <c r="A27" s="26" t="s">
        <v>1052</v>
      </c>
      <c r="B27" s="22">
        <v>15</v>
      </c>
      <c r="C27" s="22">
        <v>15</v>
      </c>
    </row>
    <row r="28" spans="1:3" x14ac:dyDescent="0.2">
      <c r="A28" s="26" t="s">
        <v>1053</v>
      </c>
      <c r="B28" s="22">
        <v>15</v>
      </c>
      <c r="C28" s="22">
        <v>15</v>
      </c>
    </row>
    <row r="29" spans="1:3" x14ac:dyDescent="0.2">
      <c r="A29" s="26" t="s">
        <v>1054</v>
      </c>
      <c r="B29" s="22">
        <v>7</v>
      </c>
      <c r="C29" s="22">
        <v>7</v>
      </c>
    </row>
    <row r="30" spans="1:3" x14ac:dyDescent="0.2">
      <c r="A30" s="26" t="s">
        <v>1055</v>
      </c>
      <c r="B30" s="22">
        <v>11</v>
      </c>
      <c r="C30" s="22">
        <v>11</v>
      </c>
    </row>
    <row r="31" spans="1:3" x14ac:dyDescent="0.2">
      <c r="A31" s="26" t="s">
        <v>1056</v>
      </c>
      <c r="B31" s="22">
        <v>24</v>
      </c>
      <c r="C31" s="22">
        <v>24</v>
      </c>
    </row>
    <row r="32" spans="1:3" x14ac:dyDescent="0.2">
      <c r="A32" s="26" t="s">
        <v>1057</v>
      </c>
      <c r="B32" s="22">
        <v>9</v>
      </c>
      <c r="C32" s="22">
        <v>9</v>
      </c>
    </row>
    <row r="33" spans="1:3" x14ac:dyDescent="0.2">
      <c r="A33" s="26" t="s">
        <v>1058</v>
      </c>
      <c r="B33" s="22">
        <v>6</v>
      </c>
      <c r="C33" s="22">
        <v>6</v>
      </c>
    </row>
    <row r="34" spans="1:3" x14ac:dyDescent="0.2">
      <c r="A34" s="26" t="s">
        <v>1046</v>
      </c>
      <c r="B34" s="22">
        <v>189</v>
      </c>
      <c r="C34" s="22">
        <v>189</v>
      </c>
    </row>
    <row r="38" spans="1:3" x14ac:dyDescent="0.2">
      <c r="A38" s="24" t="s">
        <v>1059</v>
      </c>
      <c r="B38" t="s">
        <v>1040</v>
      </c>
    </row>
    <row r="39" spans="1:3" x14ac:dyDescent="0.2">
      <c r="A39" s="26" t="s">
        <v>1062</v>
      </c>
      <c r="B39" s="22">
        <v>30</v>
      </c>
    </row>
    <row r="40" spans="1:3" x14ac:dyDescent="0.2">
      <c r="A40" s="26" t="s">
        <v>1066</v>
      </c>
      <c r="B40" s="22">
        <v>13</v>
      </c>
    </row>
    <row r="41" spans="1:3" x14ac:dyDescent="0.2">
      <c r="A41" s="26" t="s">
        <v>1067</v>
      </c>
      <c r="B41" s="22">
        <v>23</v>
      </c>
    </row>
    <row r="42" spans="1:3" x14ac:dyDescent="0.2">
      <c r="A42" s="26" t="s">
        <v>1065</v>
      </c>
      <c r="B42" s="22">
        <v>23</v>
      </c>
    </row>
    <row r="43" spans="1:3" x14ac:dyDescent="0.2">
      <c r="A43" s="26" t="s">
        <v>1061</v>
      </c>
      <c r="B43" s="22">
        <v>24</v>
      </c>
    </row>
    <row r="44" spans="1:3" x14ac:dyDescent="0.2">
      <c r="A44" s="26" t="s">
        <v>1063</v>
      </c>
      <c r="B44" s="22">
        <v>40</v>
      </c>
    </row>
    <row r="45" spans="1:3" x14ac:dyDescent="0.2">
      <c r="A45" s="26" t="s">
        <v>1064</v>
      </c>
      <c r="B45" s="22">
        <v>36</v>
      </c>
    </row>
    <row r="46" spans="1:3" x14ac:dyDescent="0.2">
      <c r="A46" s="26" t="s">
        <v>1046</v>
      </c>
      <c r="B46" s="22">
        <v>189</v>
      </c>
    </row>
    <row r="49" spans="1:10" x14ac:dyDescent="0.2">
      <c r="A49" s="24" t="s">
        <v>1040</v>
      </c>
      <c r="B49" s="24" t="s">
        <v>1045</v>
      </c>
    </row>
    <row r="50" spans="1:10" x14ac:dyDescent="0.2">
      <c r="A50" s="24" t="s">
        <v>1059</v>
      </c>
      <c r="B50" t="s">
        <v>999</v>
      </c>
      <c r="C50" t="s">
        <v>998</v>
      </c>
    </row>
    <row r="51" spans="1:10" x14ac:dyDescent="0.2">
      <c r="A51" s="26" t="s">
        <v>1002</v>
      </c>
      <c r="B51" s="22">
        <v>30</v>
      </c>
      <c r="C51" s="22">
        <v>26</v>
      </c>
    </row>
    <row r="52" spans="1:10" x14ac:dyDescent="0.2">
      <c r="A52" s="26" t="s">
        <v>1001</v>
      </c>
      <c r="B52" s="22">
        <v>57</v>
      </c>
      <c r="C52" s="22">
        <v>13</v>
      </c>
    </row>
    <row r="53" spans="1:10" x14ac:dyDescent="0.2">
      <c r="A53" s="26" t="s">
        <v>1000</v>
      </c>
      <c r="B53" s="22">
        <v>29</v>
      </c>
      <c r="C53" s="22">
        <v>34</v>
      </c>
    </row>
    <row r="58" spans="1:10" x14ac:dyDescent="0.2">
      <c r="F58" t="s">
        <v>1068</v>
      </c>
      <c r="H58" t="s">
        <v>1072</v>
      </c>
      <c r="I58" t="str">
        <f>A73</f>
        <v>R01</v>
      </c>
    </row>
    <row r="60" spans="1:10" x14ac:dyDescent="0.2">
      <c r="A60" s="24" t="s">
        <v>1059</v>
      </c>
      <c r="B60" t="s">
        <v>1040</v>
      </c>
      <c r="C60" t="s">
        <v>1041</v>
      </c>
      <c r="F60" t="s">
        <v>1069</v>
      </c>
      <c r="G60" t="s">
        <v>1070</v>
      </c>
      <c r="H60" t="s">
        <v>1071</v>
      </c>
      <c r="I60" t="s">
        <v>1073</v>
      </c>
      <c r="J60" t="s">
        <v>1074</v>
      </c>
    </row>
    <row r="61" spans="1:10" x14ac:dyDescent="0.2">
      <c r="A61" s="26" t="s">
        <v>11</v>
      </c>
      <c r="B61" s="22">
        <v>189</v>
      </c>
      <c r="C61" s="21">
        <v>18415</v>
      </c>
      <c r="F61" t="str" cm="1">
        <f t="array" ref="F61:H65">A61:C65</f>
        <v>R01</v>
      </c>
      <c r="G61">
        <v>189</v>
      </c>
      <c r="H61" s="27">
        <v>18415</v>
      </c>
      <c r="I61">
        <f>IF($F61=$I$58,G61,NA())</f>
        <v>189</v>
      </c>
      <c r="J61">
        <f>IF($F61=$I$58,H61,NA())</f>
        <v>18415</v>
      </c>
    </row>
    <row r="62" spans="1:10" x14ac:dyDescent="0.2">
      <c r="A62" s="26" t="s">
        <v>9</v>
      </c>
      <c r="B62" s="22">
        <v>218</v>
      </c>
      <c r="C62" s="21">
        <v>20581</v>
      </c>
      <c r="F62" t="str">
        <v>R02</v>
      </c>
      <c r="G62">
        <v>218</v>
      </c>
      <c r="H62" s="27">
        <v>20581</v>
      </c>
      <c r="I62" t="e">
        <f t="shared" ref="I62:I65" si="0">IF(F62=$I$58,G62,NA())</f>
        <v>#N/A</v>
      </c>
      <c r="J62" t="e">
        <f t="shared" ref="J62:J65" si="1">IF($F62=$I$58,H62,NA())</f>
        <v>#N/A</v>
      </c>
    </row>
    <row r="63" spans="1:10" x14ac:dyDescent="0.2">
      <c r="A63" s="26" t="s">
        <v>6</v>
      </c>
      <c r="B63" s="22">
        <v>207</v>
      </c>
      <c r="C63" s="21">
        <v>20872</v>
      </c>
      <c r="F63" t="str">
        <v>R03</v>
      </c>
      <c r="G63">
        <v>207</v>
      </c>
      <c r="H63" s="27">
        <v>20872</v>
      </c>
      <c r="I63" t="e">
        <f t="shared" si="0"/>
        <v>#N/A</v>
      </c>
      <c r="J63" t="e">
        <f t="shared" si="1"/>
        <v>#N/A</v>
      </c>
    </row>
    <row r="64" spans="1:10" x14ac:dyDescent="0.2">
      <c r="A64" s="26" t="s">
        <v>13</v>
      </c>
      <c r="B64" s="22">
        <v>186</v>
      </c>
      <c r="C64" s="21">
        <v>16651</v>
      </c>
      <c r="F64" t="str">
        <v>R04</v>
      </c>
      <c r="G64">
        <v>186</v>
      </c>
      <c r="H64" s="27">
        <v>16651</v>
      </c>
      <c r="I64" t="e">
        <f t="shared" si="0"/>
        <v>#N/A</v>
      </c>
      <c r="J64" t="e">
        <f t="shared" si="1"/>
        <v>#N/A</v>
      </c>
    </row>
    <row r="65" spans="1:10" x14ac:dyDescent="0.2">
      <c r="A65" s="26" t="s">
        <v>10</v>
      </c>
      <c r="B65" s="22">
        <v>200</v>
      </c>
      <c r="C65" s="21">
        <v>20104</v>
      </c>
      <c r="F65" t="str">
        <v>R05</v>
      </c>
      <c r="G65">
        <v>200</v>
      </c>
      <c r="H65" s="27">
        <v>20104</v>
      </c>
      <c r="I65" t="e">
        <f t="shared" si="0"/>
        <v>#N/A</v>
      </c>
      <c r="J65" t="e">
        <f t="shared" si="1"/>
        <v>#N/A</v>
      </c>
    </row>
    <row r="66" spans="1:10" x14ac:dyDescent="0.2">
      <c r="A66" s="26" t="s">
        <v>1046</v>
      </c>
      <c r="B66" s="22">
        <v>1000</v>
      </c>
      <c r="C66" s="21">
        <v>96623</v>
      </c>
    </row>
    <row r="68" spans="1:10" x14ac:dyDescent="0.2">
      <c r="H68" t="s">
        <v>1076</v>
      </c>
    </row>
    <row r="70" spans="1:10" x14ac:dyDescent="0.2">
      <c r="H70" t="s">
        <v>1077</v>
      </c>
      <c r="I70" s="42">
        <f>A13/A4</f>
        <v>0.189</v>
      </c>
    </row>
    <row r="71" spans="1:10" x14ac:dyDescent="0.2">
      <c r="H71" t="s">
        <v>1079</v>
      </c>
      <c r="I71" s="43">
        <f>_xlfn.XLOOKUP(A73,F61:F65,G61:G65)</f>
        <v>189</v>
      </c>
    </row>
    <row r="72" spans="1:10" x14ac:dyDescent="0.2">
      <c r="A72" s="24" t="s">
        <v>1059</v>
      </c>
      <c r="B72" t="s">
        <v>1040</v>
      </c>
      <c r="C72" t="s">
        <v>1041</v>
      </c>
      <c r="H72" t="s">
        <v>1071</v>
      </c>
      <c r="I72" s="43">
        <f>_xlfn.XLOOKUP(A73,F61:F65,H61:H65)</f>
        <v>18415</v>
      </c>
    </row>
    <row r="73" spans="1:10" x14ac:dyDescent="0.2">
      <c r="A73" s="26" t="s">
        <v>11</v>
      </c>
      <c r="B73" s="22">
        <v>189</v>
      </c>
      <c r="C73" s="21">
        <v>18415</v>
      </c>
    </row>
    <row r="74" spans="1:10" x14ac:dyDescent="0.2">
      <c r="H74" t="s">
        <v>1080</v>
      </c>
      <c r="I74">
        <f xml:space="preserve"> _xlfn.RANK.AVG(I71,G61:G65)</f>
        <v>4</v>
      </c>
    </row>
    <row r="75" spans="1:10" x14ac:dyDescent="0.2">
      <c r="H75" t="s">
        <v>1078</v>
      </c>
      <c r="I75">
        <f>_xlfn.RANK.AVG(I72,H61:H65)</f>
        <v>4</v>
      </c>
    </row>
    <row r="76" spans="1:10" x14ac:dyDescent="0.2">
      <c r="H76" t="s">
        <v>1081</v>
      </c>
      <c r="I76" t="str">
        <f>"% of Calls:"&amp;TEXT(I70,"0%")</f>
        <v>% of Calls:19%</v>
      </c>
    </row>
    <row r="77" spans="1:10" x14ac:dyDescent="0.2">
      <c r="I77" t="str">
        <f>IF(COUNTA(A73:A77)&gt;1,"","Call Rank:"&amp;I74)</f>
        <v>Call Rank:4</v>
      </c>
    </row>
    <row r="78" spans="1:10" x14ac:dyDescent="0.2">
      <c r="I78" t="str">
        <f>IF(COUNTA(A73:A77)&gt;1,"","Amount Rank:"&amp;I75)</f>
        <v>Amount Rank:4</v>
      </c>
    </row>
    <row r="82" spans="1:13" x14ac:dyDescent="0.2">
      <c r="A82" s="24" t="s">
        <v>1059</v>
      </c>
      <c r="B82" t="s">
        <v>1040</v>
      </c>
    </row>
    <row r="83" spans="1:13" x14ac:dyDescent="0.2">
      <c r="A83" s="26">
        <v>2</v>
      </c>
      <c r="B83" s="22">
        <v>9</v>
      </c>
    </row>
    <row r="84" spans="1:13" x14ac:dyDescent="0.2">
      <c r="A84" s="26">
        <v>3</v>
      </c>
      <c r="B84" s="22">
        <v>31</v>
      </c>
    </row>
    <row r="85" spans="1:13" x14ac:dyDescent="0.2">
      <c r="A85" s="26">
        <v>4</v>
      </c>
      <c r="B85" s="22">
        <v>88</v>
      </c>
    </row>
    <row r="86" spans="1:13" x14ac:dyDescent="0.2">
      <c r="A86" s="26">
        <v>5</v>
      </c>
      <c r="B86" s="22">
        <v>60</v>
      </c>
    </row>
    <row r="87" spans="1:13" x14ac:dyDescent="0.2">
      <c r="A87" s="26">
        <v>1</v>
      </c>
      <c r="B87" s="22">
        <v>1</v>
      </c>
    </row>
    <row r="88" spans="1:13" x14ac:dyDescent="0.2">
      <c r="A88" s="26" t="s">
        <v>1046</v>
      </c>
      <c r="B88" s="22">
        <v>189</v>
      </c>
    </row>
    <row r="90" spans="1:13" x14ac:dyDescent="0.2">
      <c r="A90" s="24" t="s">
        <v>1075</v>
      </c>
      <c r="B90" s="24" t="s">
        <v>1045</v>
      </c>
    </row>
    <row r="91" spans="1:13" x14ac:dyDescent="0.2">
      <c r="A91" s="24" t="s">
        <v>1059</v>
      </c>
      <c r="B91" t="s">
        <v>11</v>
      </c>
      <c r="C91" t="s">
        <v>9</v>
      </c>
      <c r="D91" t="s">
        <v>6</v>
      </c>
      <c r="E91" t="s">
        <v>13</v>
      </c>
      <c r="F91" t="s">
        <v>10</v>
      </c>
    </row>
    <row r="92" spans="1:13" x14ac:dyDescent="0.2">
      <c r="A92" s="26" t="s">
        <v>1002</v>
      </c>
      <c r="B92" s="28"/>
      <c r="C92" s="28"/>
      <c r="D92" s="28"/>
      <c r="E92" s="28"/>
      <c r="F92" s="28"/>
      <c r="H92" t="str" cm="1">
        <f t="array" ref="H92:M109">IF(A92:F109="","",A92:F109)</f>
        <v>Cincinnati</v>
      </c>
      <c r="I92" t="str">
        <v/>
      </c>
      <c r="J92" t="str">
        <v/>
      </c>
      <c r="K92" t="str">
        <v/>
      </c>
      <c r="L92" t="str">
        <v/>
      </c>
      <c r="M92" t="str">
        <v/>
      </c>
    </row>
    <row r="93" spans="1:13" x14ac:dyDescent="0.2">
      <c r="A93" s="29" t="s">
        <v>20</v>
      </c>
      <c r="B93" s="27">
        <v>891</v>
      </c>
      <c r="C93" s="27">
        <v>1332</v>
      </c>
      <c r="D93" s="27">
        <v>1282</v>
      </c>
      <c r="E93" s="27">
        <v>739</v>
      </c>
      <c r="F93" s="27">
        <v>560</v>
      </c>
      <c r="H93" t="str">
        <v>C0003</v>
      </c>
      <c r="I93">
        <v>891</v>
      </c>
      <c r="J93">
        <v>1332</v>
      </c>
      <c r="K93">
        <v>1282</v>
      </c>
      <c r="L93">
        <v>739</v>
      </c>
      <c r="M93">
        <v>560</v>
      </c>
    </row>
    <row r="94" spans="1:13" x14ac:dyDescent="0.2">
      <c r="A94" s="29" t="s">
        <v>12</v>
      </c>
      <c r="B94" s="27">
        <v>1991</v>
      </c>
      <c r="C94" s="27">
        <v>1886</v>
      </c>
      <c r="D94" s="27">
        <v>1206</v>
      </c>
      <c r="E94" s="27">
        <v>884</v>
      </c>
      <c r="F94" s="27">
        <v>1722</v>
      </c>
      <c r="H94" t="str">
        <v>C0004</v>
      </c>
      <c r="I94">
        <v>1991</v>
      </c>
      <c r="J94">
        <v>1886</v>
      </c>
      <c r="K94">
        <v>1206</v>
      </c>
      <c r="L94">
        <v>884</v>
      </c>
      <c r="M94">
        <v>1722</v>
      </c>
    </row>
    <row r="95" spans="1:13" x14ac:dyDescent="0.2">
      <c r="A95" s="29" t="s">
        <v>8</v>
      </c>
      <c r="B95" s="27">
        <v>1163</v>
      </c>
      <c r="C95" s="27">
        <v>1180</v>
      </c>
      <c r="D95" s="27">
        <v>1616</v>
      </c>
      <c r="E95" s="27">
        <v>1043</v>
      </c>
      <c r="F95" s="27">
        <v>1747</v>
      </c>
      <c r="H95" t="str">
        <v>C0011</v>
      </c>
      <c r="I95">
        <v>1163</v>
      </c>
      <c r="J95">
        <v>1180</v>
      </c>
      <c r="K95">
        <v>1616</v>
      </c>
      <c r="L95">
        <v>1043</v>
      </c>
      <c r="M95">
        <v>1747</v>
      </c>
    </row>
    <row r="96" spans="1:13" x14ac:dyDescent="0.2">
      <c r="A96" s="29" t="s">
        <v>16</v>
      </c>
      <c r="B96" s="27">
        <v>1438</v>
      </c>
      <c r="C96" s="27">
        <v>1616</v>
      </c>
      <c r="D96" s="27">
        <v>866</v>
      </c>
      <c r="E96" s="27">
        <v>829</v>
      </c>
      <c r="F96" s="27">
        <v>2070</v>
      </c>
      <c r="H96" t="str">
        <v>C0012</v>
      </c>
      <c r="I96">
        <v>1438</v>
      </c>
      <c r="J96">
        <v>1616</v>
      </c>
      <c r="K96">
        <v>866</v>
      </c>
      <c r="L96">
        <v>829</v>
      </c>
      <c r="M96">
        <v>2070</v>
      </c>
    </row>
    <row r="97" spans="1:13" x14ac:dyDescent="0.2">
      <c r="A97" s="26" t="s">
        <v>1001</v>
      </c>
      <c r="B97" s="28"/>
      <c r="C97" s="28"/>
      <c r="D97" s="28"/>
      <c r="E97" s="28"/>
      <c r="F97" s="28"/>
      <c r="H97" t="str">
        <v>Cleveland</v>
      </c>
      <c r="I97" t="str">
        <v/>
      </c>
      <c r="J97" t="str">
        <v/>
      </c>
      <c r="K97" t="str">
        <v/>
      </c>
      <c r="L97" t="str">
        <v/>
      </c>
      <c r="M97" t="str">
        <v/>
      </c>
    </row>
    <row r="98" spans="1:13" x14ac:dyDescent="0.2">
      <c r="A98" s="29" t="s">
        <v>24</v>
      </c>
      <c r="B98" s="27">
        <v>1233</v>
      </c>
      <c r="C98" s="27">
        <v>223</v>
      </c>
      <c r="D98" s="27">
        <v>1680</v>
      </c>
      <c r="E98" s="27">
        <v>990</v>
      </c>
      <c r="F98" s="27">
        <v>1508</v>
      </c>
      <c r="H98" t="str">
        <v>C0002</v>
      </c>
      <c r="I98">
        <v>1233</v>
      </c>
      <c r="J98">
        <v>223</v>
      </c>
      <c r="K98">
        <v>1680</v>
      </c>
      <c r="L98">
        <v>990</v>
      </c>
      <c r="M98">
        <v>1508</v>
      </c>
    </row>
    <row r="99" spans="1:13" x14ac:dyDescent="0.2">
      <c r="A99" s="29" t="s">
        <v>15</v>
      </c>
      <c r="B99" s="27">
        <v>1598</v>
      </c>
      <c r="C99" s="27">
        <v>1907</v>
      </c>
      <c r="D99" s="27">
        <v>869</v>
      </c>
      <c r="E99" s="27">
        <v>1426</v>
      </c>
      <c r="F99" s="27">
        <v>1416</v>
      </c>
      <c r="H99" t="str">
        <v>C0007</v>
      </c>
      <c r="I99">
        <v>1598</v>
      </c>
      <c r="J99">
        <v>1907</v>
      </c>
      <c r="K99">
        <v>869</v>
      </c>
      <c r="L99">
        <v>1426</v>
      </c>
      <c r="M99">
        <v>1416</v>
      </c>
    </row>
    <row r="100" spans="1:13" x14ac:dyDescent="0.2">
      <c r="A100" s="29" t="s">
        <v>5</v>
      </c>
      <c r="B100" s="27">
        <v>900</v>
      </c>
      <c r="C100" s="27">
        <v>1016</v>
      </c>
      <c r="D100" s="27">
        <v>960</v>
      </c>
      <c r="E100" s="27">
        <v>940</v>
      </c>
      <c r="F100" s="27">
        <v>1193</v>
      </c>
      <c r="H100" t="str">
        <v>C0008</v>
      </c>
      <c r="I100">
        <v>900</v>
      </c>
      <c r="J100">
        <v>1016</v>
      </c>
      <c r="K100">
        <v>960</v>
      </c>
      <c r="L100">
        <v>940</v>
      </c>
      <c r="M100">
        <v>1193</v>
      </c>
    </row>
    <row r="101" spans="1:13" x14ac:dyDescent="0.2">
      <c r="A101" s="29" t="s">
        <v>18</v>
      </c>
      <c r="B101" s="27">
        <v>900</v>
      </c>
      <c r="C101" s="27">
        <v>1470</v>
      </c>
      <c r="D101" s="27">
        <v>1617</v>
      </c>
      <c r="E101" s="27">
        <v>1314</v>
      </c>
      <c r="F101" s="27">
        <v>941</v>
      </c>
      <c r="H101" t="str">
        <v>C0010</v>
      </c>
      <c r="I101">
        <v>900</v>
      </c>
      <c r="J101">
        <v>1470</v>
      </c>
      <c r="K101">
        <v>1617</v>
      </c>
      <c r="L101">
        <v>1314</v>
      </c>
      <c r="M101">
        <v>941</v>
      </c>
    </row>
    <row r="102" spans="1:13" x14ac:dyDescent="0.2">
      <c r="A102" s="29" t="s">
        <v>14</v>
      </c>
      <c r="B102" s="27">
        <v>1255</v>
      </c>
      <c r="C102" s="27">
        <v>516</v>
      </c>
      <c r="D102" s="27">
        <v>1874</v>
      </c>
      <c r="E102" s="27">
        <v>1863</v>
      </c>
      <c r="F102" s="27">
        <v>1722</v>
      </c>
      <c r="H102" t="str">
        <v>C0013</v>
      </c>
      <c r="I102">
        <v>1255</v>
      </c>
      <c r="J102">
        <v>516</v>
      </c>
      <c r="K102">
        <v>1874</v>
      </c>
      <c r="L102">
        <v>1863</v>
      </c>
      <c r="M102">
        <v>1722</v>
      </c>
    </row>
    <row r="103" spans="1:13" x14ac:dyDescent="0.2">
      <c r="A103" s="29" t="s">
        <v>19</v>
      </c>
      <c r="B103" s="27">
        <v>1138</v>
      </c>
      <c r="C103" s="27">
        <v>1898</v>
      </c>
      <c r="D103" s="27">
        <v>1482</v>
      </c>
      <c r="E103" s="27">
        <v>846</v>
      </c>
      <c r="F103" s="27">
        <v>1154</v>
      </c>
      <c r="H103" t="str">
        <v>C0015</v>
      </c>
      <c r="I103">
        <v>1138</v>
      </c>
      <c r="J103">
        <v>1898</v>
      </c>
      <c r="K103">
        <v>1482</v>
      </c>
      <c r="L103">
        <v>846</v>
      </c>
      <c r="M103">
        <v>1154</v>
      </c>
    </row>
    <row r="104" spans="1:13" x14ac:dyDescent="0.2">
      <c r="A104" s="26" t="s">
        <v>1000</v>
      </c>
      <c r="B104" s="28"/>
      <c r="C104" s="28"/>
      <c r="D104" s="28"/>
      <c r="E104" s="28"/>
      <c r="F104" s="28"/>
      <c r="H104" t="str">
        <v>Columbus</v>
      </c>
      <c r="I104" t="str">
        <v/>
      </c>
      <c r="J104" t="str">
        <v/>
      </c>
      <c r="K104" t="str">
        <v/>
      </c>
      <c r="L104" t="str">
        <v/>
      </c>
      <c r="M104" t="str">
        <v/>
      </c>
    </row>
    <row r="105" spans="1:13" x14ac:dyDescent="0.2">
      <c r="A105" s="29" t="s">
        <v>17</v>
      </c>
      <c r="B105" s="27">
        <v>1655</v>
      </c>
      <c r="C105" s="27">
        <v>805</v>
      </c>
      <c r="D105" s="27">
        <v>2263</v>
      </c>
      <c r="E105" s="27">
        <v>987</v>
      </c>
      <c r="F105" s="27">
        <v>1075</v>
      </c>
      <c r="H105" t="str">
        <v>C0001</v>
      </c>
      <c r="I105">
        <v>1655</v>
      </c>
      <c r="J105">
        <v>805</v>
      </c>
      <c r="K105">
        <v>2263</v>
      </c>
      <c r="L105">
        <v>987</v>
      </c>
      <c r="M105">
        <v>1075</v>
      </c>
    </row>
    <row r="106" spans="1:13" x14ac:dyDescent="0.2">
      <c r="A106" s="29" t="s">
        <v>23</v>
      </c>
      <c r="B106" s="27">
        <v>1104</v>
      </c>
      <c r="C106" s="27">
        <v>2280</v>
      </c>
      <c r="D106" s="27">
        <v>1445</v>
      </c>
      <c r="E106" s="27">
        <v>1722</v>
      </c>
      <c r="F106" s="27">
        <v>1196</v>
      </c>
      <c r="H106" t="str">
        <v>C0005</v>
      </c>
      <c r="I106">
        <v>1104</v>
      </c>
      <c r="J106">
        <v>2280</v>
      </c>
      <c r="K106">
        <v>1445</v>
      </c>
      <c r="L106">
        <v>1722</v>
      </c>
      <c r="M106">
        <v>1196</v>
      </c>
    </row>
    <row r="107" spans="1:13" x14ac:dyDescent="0.2">
      <c r="A107" s="29" t="s">
        <v>7</v>
      </c>
      <c r="B107" s="27">
        <v>372</v>
      </c>
      <c r="C107" s="27">
        <v>1818</v>
      </c>
      <c r="D107" s="27">
        <v>1346</v>
      </c>
      <c r="E107" s="27">
        <v>1156</v>
      </c>
      <c r="F107" s="27">
        <v>1484</v>
      </c>
      <c r="H107" t="str">
        <v>C0006</v>
      </c>
      <c r="I107">
        <v>372</v>
      </c>
      <c r="J107">
        <v>1818</v>
      </c>
      <c r="K107">
        <v>1346</v>
      </c>
      <c r="L107">
        <v>1156</v>
      </c>
      <c r="M107">
        <v>1484</v>
      </c>
    </row>
    <row r="108" spans="1:13" x14ac:dyDescent="0.2">
      <c r="A108" s="29" t="s">
        <v>22</v>
      </c>
      <c r="B108" s="27">
        <v>1415</v>
      </c>
      <c r="C108" s="27">
        <v>1271</v>
      </c>
      <c r="D108" s="27">
        <v>1214</v>
      </c>
      <c r="E108" s="27">
        <v>1135</v>
      </c>
      <c r="F108" s="27">
        <v>1566</v>
      </c>
      <c r="H108" t="str">
        <v>C0009</v>
      </c>
      <c r="I108">
        <v>1415</v>
      </c>
      <c r="J108">
        <v>1271</v>
      </c>
      <c r="K108">
        <v>1214</v>
      </c>
      <c r="L108">
        <v>1135</v>
      </c>
      <c r="M108">
        <v>1566</v>
      </c>
    </row>
    <row r="109" spans="1:13" x14ac:dyDescent="0.2">
      <c r="A109" s="29" t="s">
        <v>21</v>
      </c>
      <c r="B109" s="28">
        <v>1362</v>
      </c>
      <c r="C109" s="28">
        <v>1363</v>
      </c>
      <c r="D109" s="28">
        <v>1152</v>
      </c>
      <c r="E109" s="28">
        <v>777</v>
      </c>
      <c r="F109" s="28">
        <v>750</v>
      </c>
      <c r="H109" t="str">
        <v>C0014</v>
      </c>
      <c r="I109">
        <v>1362</v>
      </c>
      <c r="J109">
        <v>1363</v>
      </c>
      <c r="K109">
        <v>1152</v>
      </c>
      <c r="L109">
        <v>777</v>
      </c>
      <c r="M109">
        <v>750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70" zoomScaleNormal="55" workbookViewId="0">
      <selection activeCell="F22" sqref="F22"/>
    </sheetView>
  </sheetViews>
  <sheetFormatPr defaultRowHeight="15" x14ac:dyDescent="0.2"/>
  <cols>
    <col min="1" max="1" width="3.25" customWidth="1"/>
    <col min="2" max="2" width="14.625" customWidth="1"/>
    <col min="3" max="3" width="13" customWidth="1"/>
    <col min="4" max="4" width="16.625" customWidth="1"/>
    <col min="5" max="5" width="15.125" customWidth="1"/>
    <col min="6" max="6" width="16.125" customWidth="1"/>
    <col min="7" max="7" width="17.125" customWidth="1"/>
    <col min="8" max="8" width="18.25" customWidth="1"/>
    <col min="9" max="9" width="17.125" customWidth="1"/>
    <col min="10" max="12" width="15.5" customWidth="1"/>
    <col min="13" max="16" width="7.5" customWidth="1"/>
    <col min="17" max="17" width="14.625" customWidth="1"/>
    <col min="20" max="20" width="10.625" customWidth="1"/>
  </cols>
  <sheetData>
    <row r="1" spans="2:20" s="4" customFormat="1" ht="48" customHeight="1" x14ac:dyDescent="0.2">
      <c r="B1" s="5" t="s">
        <v>1003</v>
      </c>
    </row>
    <row r="2" spans="2:20" ht="14.25" x14ac:dyDescent="0.2">
      <c r="R2" s="1"/>
    </row>
    <row r="3" spans="2:20" ht="14.25" x14ac:dyDescent="0.2">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ht="14.25" x14ac:dyDescent="0.2">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ht="14.25" x14ac:dyDescent="0.2">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ht="14.25" x14ac:dyDescent="0.2">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ht="14.25" x14ac:dyDescent="0.2">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ht="14.25" x14ac:dyDescent="0.2">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ht="14.25" x14ac:dyDescent="0.2">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ht="14.25" x14ac:dyDescent="0.2">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ht="14.25" x14ac:dyDescent="0.2">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ht="14.25" x14ac:dyDescent="0.2">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ht="14.25" x14ac:dyDescent="0.2">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ht="14.25" x14ac:dyDescent="0.2">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ht="14.25" x14ac:dyDescent="0.2">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ht="14.25" x14ac:dyDescent="0.2">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ht="14.25" x14ac:dyDescent="0.2">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ht="14.25" x14ac:dyDescent="0.2">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ht="14.25" x14ac:dyDescent="0.2">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ht="14.25" x14ac:dyDescent="0.2">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ht="14.25" x14ac:dyDescent="0.2">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ht="14.25" x14ac:dyDescent="0.2">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ht="14.25" x14ac:dyDescent="0.2">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ht="14.25" x14ac:dyDescent="0.2">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ht="14.25" x14ac:dyDescent="0.2">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ht="14.25" x14ac:dyDescent="0.2">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ht="14.25" x14ac:dyDescent="0.2">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ht="14.25" x14ac:dyDescent="0.2">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ht="14.25" x14ac:dyDescent="0.2">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ht="14.25" x14ac:dyDescent="0.2">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ht="14.25" x14ac:dyDescent="0.2">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ht="14.25" x14ac:dyDescent="0.2">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ht="14.25" x14ac:dyDescent="0.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ht="14.25" x14ac:dyDescent="0.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ht="14.25" x14ac:dyDescent="0.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ht="14.25" x14ac:dyDescent="0.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ht="14.25" x14ac:dyDescent="0.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ht="14.25" x14ac:dyDescent="0.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ht="14.25" x14ac:dyDescent="0.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ht="14.25" x14ac:dyDescent="0.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ht="14.25" x14ac:dyDescent="0.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ht="14.25" x14ac:dyDescent="0.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ht="14.25" x14ac:dyDescent="0.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ht="14.25" x14ac:dyDescent="0.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ht="14.25" x14ac:dyDescent="0.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ht="14.25" x14ac:dyDescent="0.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ht="14.25" x14ac:dyDescent="0.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ht="14.25" x14ac:dyDescent="0.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ht="14.25" x14ac:dyDescent="0.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ht="14.25" x14ac:dyDescent="0.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ht="14.25" x14ac:dyDescent="0.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ht="14.25" x14ac:dyDescent="0.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ht="14.25" x14ac:dyDescent="0.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ht="14.25" x14ac:dyDescent="0.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ht="14.25" x14ac:dyDescent="0.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ht="14.25" x14ac:dyDescent="0.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ht="14.25" x14ac:dyDescent="0.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ht="14.25" x14ac:dyDescent="0.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ht="14.25" x14ac:dyDescent="0.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ht="14.25" x14ac:dyDescent="0.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ht="14.25" x14ac:dyDescent="0.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ht="14.25" x14ac:dyDescent="0.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ht="14.25" x14ac:dyDescent="0.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ht="14.25" x14ac:dyDescent="0.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ht="14.25" x14ac:dyDescent="0.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ht="14.25" x14ac:dyDescent="0.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ht="14.25" x14ac:dyDescent="0.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ht="14.25" x14ac:dyDescent="0.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ht="14.25" x14ac:dyDescent="0.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ht="14.25" x14ac:dyDescent="0.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ht="14.25" x14ac:dyDescent="0.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ht="14.25" x14ac:dyDescent="0.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ht="14.25" x14ac:dyDescent="0.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ht="14.25" x14ac:dyDescent="0.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ht="14.25" x14ac:dyDescent="0.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ht="14.25" x14ac:dyDescent="0.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ht="14.25" x14ac:dyDescent="0.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ht="14.25" x14ac:dyDescent="0.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ht="14.25" x14ac:dyDescent="0.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ht="14.25" x14ac:dyDescent="0.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ht="14.25" x14ac:dyDescent="0.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ht="14.25" x14ac:dyDescent="0.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ht="14.25" x14ac:dyDescent="0.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ht="14.25" x14ac:dyDescent="0.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ht="14.25" x14ac:dyDescent="0.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ht="14.25" x14ac:dyDescent="0.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ht="14.25" x14ac:dyDescent="0.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ht="14.25" x14ac:dyDescent="0.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ht="14.25" x14ac:dyDescent="0.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ht="14.25" x14ac:dyDescent="0.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ht="14.25" x14ac:dyDescent="0.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ht="14.25" x14ac:dyDescent="0.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ht="14.25" x14ac:dyDescent="0.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ht="14.25" x14ac:dyDescent="0.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ht="14.25" x14ac:dyDescent="0.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ht="14.25" x14ac:dyDescent="0.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ht="14.25" x14ac:dyDescent="0.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ht="14.25" x14ac:dyDescent="0.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ht="14.25" x14ac:dyDescent="0.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ht="14.25" x14ac:dyDescent="0.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ht="14.25" x14ac:dyDescent="0.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ht="14.25" x14ac:dyDescent="0.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ht="14.25" x14ac:dyDescent="0.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ht="14.25" x14ac:dyDescent="0.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ht="14.25" x14ac:dyDescent="0.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ht="14.25" x14ac:dyDescent="0.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ht="14.25" x14ac:dyDescent="0.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ht="14.25" x14ac:dyDescent="0.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ht="14.25" x14ac:dyDescent="0.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ht="14.25" x14ac:dyDescent="0.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ht="14.25" x14ac:dyDescent="0.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ht="14.25" x14ac:dyDescent="0.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ht="14.25" x14ac:dyDescent="0.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ht="14.25" x14ac:dyDescent="0.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ht="14.25" x14ac:dyDescent="0.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ht="14.25" x14ac:dyDescent="0.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ht="14.25" x14ac:dyDescent="0.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ht="14.25" x14ac:dyDescent="0.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ht="14.25" x14ac:dyDescent="0.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ht="14.25" x14ac:dyDescent="0.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ht="14.25" x14ac:dyDescent="0.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ht="14.25" x14ac:dyDescent="0.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ht="14.25" x14ac:dyDescent="0.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ht="14.25" x14ac:dyDescent="0.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ht="14.25" x14ac:dyDescent="0.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ht="14.25" x14ac:dyDescent="0.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ht="14.25" x14ac:dyDescent="0.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ht="14.25" x14ac:dyDescent="0.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ht="14.25" x14ac:dyDescent="0.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ht="14.25" x14ac:dyDescent="0.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ht="14.25" x14ac:dyDescent="0.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ht="14.25" x14ac:dyDescent="0.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ht="14.25" x14ac:dyDescent="0.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ht="14.25" x14ac:dyDescent="0.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ht="14.25" x14ac:dyDescent="0.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ht="14.25" x14ac:dyDescent="0.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ht="14.25" x14ac:dyDescent="0.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ht="14.25" x14ac:dyDescent="0.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ht="14.25" x14ac:dyDescent="0.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ht="14.25" x14ac:dyDescent="0.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ht="14.25" x14ac:dyDescent="0.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ht="14.25" x14ac:dyDescent="0.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ht="14.25" x14ac:dyDescent="0.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ht="14.25" x14ac:dyDescent="0.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ht="14.25" x14ac:dyDescent="0.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ht="14.25" x14ac:dyDescent="0.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ht="14.25" x14ac:dyDescent="0.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ht="14.25" x14ac:dyDescent="0.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ht="14.25" x14ac:dyDescent="0.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ht="14.25" x14ac:dyDescent="0.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ht="14.25" x14ac:dyDescent="0.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ht="14.25" x14ac:dyDescent="0.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ht="14.25" x14ac:dyDescent="0.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ht="14.25" x14ac:dyDescent="0.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ht="14.25" x14ac:dyDescent="0.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ht="14.25" x14ac:dyDescent="0.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ht="14.25" x14ac:dyDescent="0.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ht="14.25" x14ac:dyDescent="0.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ht="14.25" x14ac:dyDescent="0.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ht="14.25" x14ac:dyDescent="0.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ht="14.25" x14ac:dyDescent="0.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ht="14.25" x14ac:dyDescent="0.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ht="14.25" x14ac:dyDescent="0.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ht="14.25" x14ac:dyDescent="0.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ht="14.25" x14ac:dyDescent="0.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ht="14.25" x14ac:dyDescent="0.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ht="14.25" x14ac:dyDescent="0.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ht="14.25" x14ac:dyDescent="0.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ht="14.25" x14ac:dyDescent="0.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ht="14.25" x14ac:dyDescent="0.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ht="14.25" x14ac:dyDescent="0.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ht="14.25" x14ac:dyDescent="0.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ht="14.25" x14ac:dyDescent="0.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ht="14.25" x14ac:dyDescent="0.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ht="14.25" x14ac:dyDescent="0.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ht="14.25" x14ac:dyDescent="0.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ht="14.25" x14ac:dyDescent="0.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ht="14.25" x14ac:dyDescent="0.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ht="14.25" x14ac:dyDescent="0.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ht="14.25" x14ac:dyDescent="0.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ht="14.25" x14ac:dyDescent="0.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ht="14.25" x14ac:dyDescent="0.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ht="14.25" x14ac:dyDescent="0.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ht="14.25" x14ac:dyDescent="0.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ht="14.25" x14ac:dyDescent="0.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ht="14.25" x14ac:dyDescent="0.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ht="14.25" x14ac:dyDescent="0.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ht="14.25" x14ac:dyDescent="0.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ht="14.25" x14ac:dyDescent="0.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ht="14.25" x14ac:dyDescent="0.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ht="14.25" x14ac:dyDescent="0.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ht="14.25" x14ac:dyDescent="0.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ht="14.25" x14ac:dyDescent="0.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ht="14.25" x14ac:dyDescent="0.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ht="14.25" x14ac:dyDescent="0.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ht="14.25" x14ac:dyDescent="0.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ht="14.25" x14ac:dyDescent="0.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ht="14.25" x14ac:dyDescent="0.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ht="14.25" x14ac:dyDescent="0.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ht="14.25" x14ac:dyDescent="0.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ht="14.25" x14ac:dyDescent="0.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ht="14.25" x14ac:dyDescent="0.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ht="14.25" x14ac:dyDescent="0.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ht="14.25" x14ac:dyDescent="0.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ht="14.25" x14ac:dyDescent="0.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ht="14.25" x14ac:dyDescent="0.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ht="14.25" x14ac:dyDescent="0.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ht="14.25" x14ac:dyDescent="0.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ht="14.25" x14ac:dyDescent="0.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ht="14.25" x14ac:dyDescent="0.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ht="14.25" x14ac:dyDescent="0.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ht="14.25" x14ac:dyDescent="0.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ht="14.25" x14ac:dyDescent="0.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ht="14.25" x14ac:dyDescent="0.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ht="14.25" x14ac:dyDescent="0.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ht="14.25" x14ac:dyDescent="0.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ht="14.25" x14ac:dyDescent="0.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ht="14.25" x14ac:dyDescent="0.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ht="14.25" x14ac:dyDescent="0.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ht="14.25" x14ac:dyDescent="0.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ht="14.25" x14ac:dyDescent="0.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ht="14.25" x14ac:dyDescent="0.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ht="14.25" x14ac:dyDescent="0.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ht="14.25" x14ac:dyDescent="0.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ht="14.25" x14ac:dyDescent="0.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ht="14.25" x14ac:dyDescent="0.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ht="14.25" x14ac:dyDescent="0.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ht="14.25" x14ac:dyDescent="0.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ht="14.25" x14ac:dyDescent="0.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ht="14.25" x14ac:dyDescent="0.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ht="14.25" x14ac:dyDescent="0.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ht="14.25" x14ac:dyDescent="0.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ht="14.25" x14ac:dyDescent="0.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ht="14.25" x14ac:dyDescent="0.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ht="14.25" x14ac:dyDescent="0.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ht="14.25" x14ac:dyDescent="0.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ht="14.25" x14ac:dyDescent="0.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ht="14.25" x14ac:dyDescent="0.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ht="14.25" x14ac:dyDescent="0.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ht="14.25" x14ac:dyDescent="0.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ht="14.25" x14ac:dyDescent="0.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ht="14.25" x14ac:dyDescent="0.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ht="14.25" x14ac:dyDescent="0.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ht="14.25" x14ac:dyDescent="0.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ht="14.25" x14ac:dyDescent="0.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ht="14.25" x14ac:dyDescent="0.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ht="14.25" x14ac:dyDescent="0.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ht="14.25" x14ac:dyDescent="0.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ht="14.25" x14ac:dyDescent="0.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ht="14.25" x14ac:dyDescent="0.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ht="14.25" x14ac:dyDescent="0.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ht="14.25" x14ac:dyDescent="0.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ht="14.25" x14ac:dyDescent="0.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ht="14.25" x14ac:dyDescent="0.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ht="14.25" x14ac:dyDescent="0.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ht="14.25" x14ac:dyDescent="0.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ht="14.25" x14ac:dyDescent="0.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ht="14.25" x14ac:dyDescent="0.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ht="14.25" x14ac:dyDescent="0.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ht="14.25" x14ac:dyDescent="0.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ht="14.25" x14ac:dyDescent="0.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ht="14.25" x14ac:dyDescent="0.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ht="14.25" x14ac:dyDescent="0.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ht="14.25" x14ac:dyDescent="0.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ht="14.25" x14ac:dyDescent="0.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ht="14.25" x14ac:dyDescent="0.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ht="14.25" x14ac:dyDescent="0.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ht="14.25" x14ac:dyDescent="0.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ht="14.25" x14ac:dyDescent="0.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ht="14.25" x14ac:dyDescent="0.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ht="14.25" x14ac:dyDescent="0.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ht="14.25" x14ac:dyDescent="0.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ht="14.25" x14ac:dyDescent="0.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ht="14.25" x14ac:dyDescent="0.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ht="14.25" x14ac:dyDescent="0.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ht="14.25" x14ac:dyDescent="0.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ht="14.25" x14ac:dyDescent="0.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ht="14.25" x14ac:dyDescent="0.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ht="14.25" x14ac:dyDescent="0.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ht="14.25" x14ac:dyDescent="0.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ht="14.25" x14ac:dyDescent="0.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ht="14.25" x14ac:dyDescent="0.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ht="14.25" x14ac:dyDescent="0.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ht="14.25" x14ac:dyDescent="0.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ht="14.25" x14ac:dyDescent="0.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ht="14.25" x14ac:dyDescent="0.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ht="14.25" x14ac:dyDescent="0.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ht="14.25" x14ac:dyDescent="0.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ht="14.25" x14ac:dyDescent="0.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ht="14.25" x14ac:dyDescent="0.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ht="14.25" x14ac:dyDescent="0.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ht="14.25" x14ac:dyDescent="0.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ht="14.25" x14ac:dyDescent="0.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ht="14.25" x14ac:dyDescent="0.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ht="14.25" x14ac:dyDescent="0.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ht="14.25" x14ac:dyDescent="0.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ht="14.25" x14ac:dyDescent="0.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ht="14.25" x14ac:dyDescent="0.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ht="14.25" x14ac:dyDescent="0.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ht="14.25" x14ac:dyDescent="0.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ht="14.25" x14ac:dyDescent="0.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ht="14.25" x14ac:dyDescent="0.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ht="14.25" x14ac:dyDescent="0.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ht="14.25" x14ac:dyDescent="0.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ht="14.25" x14ac:dyDescent="0.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ht="14.25" x14ac:dyDescent="0.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ht="14.25" x14ac:dyDescent="0.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ht="14.25" x14ac:dyDescent="0.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ht="14.25" x14ac:dyDescent="0.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ht="14.25" x14ac:dyDescent="0.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ht="14.25" x14ac:dyDescent="0.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ht="14.25" x14ac:dyDescent="0.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ht="14.25" x14ac:dyDescent="0.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ht="14.25" x14ac:dyDescent="0.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ht="14.25" x14ac:dyDescent="0.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ht="14.25" x14ac:dyDescent="0.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ht="14.25" x14ac:dyDescent="0.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ht="14.25" x14ac:dyDescent="0.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ht="14.25" x14ac:dyDescent="0.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ht="14.25" x14ac:dyDescent="0.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ht="14.25" x14ac:dyDescent="0.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ht="14.25" x14ac:dyDescent="0.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ht="14.25" x14ac:dyDescent="0.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ht="14.25" x14ac:dyDescent="0.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ht="14.25" x14ac:dyDescent="0.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ht="14.25" x14ac:dyDescent="0.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ht="14.25" x14ac:dyDescent="0.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ht="14.25" x14ac:dyDescent="0.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ht="14.25" x14ac:dyDescent="0.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ht="14.25" x14ac:dyDescent="0.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ht="14.25" x14ac:dyDescent="0.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ht="14.25" x14ac:dyDescent="0.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ht="14.25" x14ac:dyDescent="0.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ht="14.25" x14ac:dyDescent="0.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ht="14.25" x14ac:dyDescent="0.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ht="14.25" x14ac:dyDescent="0.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ht="14.25" x14ac:dyDescent="0.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ht="14.25" x14ac:dyDescent="0.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ht="14.25" x14ac:dyDescent="0.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ht="14.25" x14ac:dyDescent="0.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ht="14.25" x14ac:dyDescent="0.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ht="14.25" x14ac:dyDescent="0.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ht="14.25" x14ac:dyDescent="0.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ht="14.25" x14ac:dyDescent="0.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ht="14.25" x14ac:dyDescent="0.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ht="14.25" x14ac:dyDescent="0.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ht="14.25" x14ac:dyDescent="0.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ht="14.25" x14ac:dyDescent="0.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ht="14.25" x14ac:dyDescent="0.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ht="14.25" x14ac:dyDescent="0.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ht="14.25" x14ac:dyDescent="0.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ht="14.25" x14ac:dyDescent="0.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ht="14.25" x14ac:dyDescent="0.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ht="14.25" x14ac:dyDescent="0.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ht="14.25" x14ac:dyDescent="0.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ht="14.25" x14ac:dyDescent="0.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ht="14.25" x14ac:dyDescent="0.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ht="14.25" x14ac:dyDescent="0.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ht="14.25" x14ac:dyDescent="0.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ht="14.25" x14ac:dyDescent="0.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ht="14.25" x14ac:dyDescent="0.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ht="14.25" x14ac:dyDescent="0.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ht="14.25" x14ac:dyDescent="0.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ht="14.25" x14ac:dyDescent="0.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ht="14.25" x14ac:dyDescent="0.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ht="14.25" x14ac:dyDescent="0.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ht="14.25" x14ac:dyDescent="0.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ht="14.25" x14ac:dyDescent="0.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ht="14.25" x14ac:dyDescent="0.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ht="14.25" x14ac:dyDescent="0.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ht="14.25" x14ac:dyDescent="0.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ht="14.25" x14ac:dyDescent="0.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ht="14.25" x14ac:dyDescent="0.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ht="14.25" x14ac:dyDescent="0.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ht="14.25" x14ac:dyDescent="0.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ht="14.25" x14ac:dyDescent="0.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ht="14.25" x14ac:dyDescent="0.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ht="14.25" x14ac:dyDescent="0.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ht="14.25" x14ac:dyDescent="0.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ht="14.25" x14ac:dyDescent="0.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ht="14.25" x14ac:dyDescent="0.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ht="14.25" x14ac:dyDescent="0.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ht="14.25" x14ac:dyDescent="0.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ht="14.25" x14ac:dyDescent="0.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ht="14.25" x14ac:dyDescent="0.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ht="14.25" x14ac:dyDescent="0.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ht="14.25" x14ac:dyDescent="0.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ht="14.25" x14ac:dyDescent="0.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ht="14.25" x14ac:dyDescent="0.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ht="14.25" x14ac:dyDescent="0.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ht="14.25" x14ac:dyDescent="0.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ht="14.25" x14ac:dyDescent="0.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ht="14.25" x14ac:dyDescent="0.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ht="14.25" x14ac:dyDescent="0.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ht="14.25" x14ac:dyDescent="0.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ht="14.25" x14ac:dyDescent="0.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ht="14.25" x14ac:dyDescent="0.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ht="14.25" x14ac:dyDescent="0.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ht="14.25" x14ac:dyDescent="0.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ht="14.25" x14ac:dyDescent="0.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ht="14.25" x14ac:dyDescent="0.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ht="14.25" x14ac:dyDescent="0.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ht="14.25" x14ac:dyDescent="0.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ht="14.25" x14ac:dyDescent="0.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ht="14.25" x14ac:dyDescent="0.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ht="14.25" x14ac:dyDescent="0.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ht="14.25" x14ac:dyDescent="0.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ht="14.25" x14ac:dyDescent="0.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ht="14.25" x14ac:dyDescent="0.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ht="14.25" x14ac:dyDescent="0.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ht="14.25" x14ac:dyDescent="0.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ht="14.25" x14ac:dyDescent="0.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ht="14.25" x14ac:dyDescent="0.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ht="14.25" x14ac:dyDescent="0.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ht="14.25" x14ac:dyDescent="0.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ht="14.25" x14ac:dyDescent="0.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ht="14.25" x14ac:dyDescent="0.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ht="14.25" x14ac:dyDescent="0.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ht="14.25" x14ac:dyDescent="0.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ht="14.25" x14ac:dyDescent="0.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ht="14.25" x14ac:dyDescent="0.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ht="14.25" x14ac:dyDescent="0.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ht="14.25" x14ac:dyDescent="0.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ht="14.25" x14ac:dyDescent="0.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ht="14.25" x14ac:dyDescent="0.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ht="14.25" x14ac:dyDescent="0.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ht="14.25" x14ac:dyDescent="0.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ht="14.25" x14ac:dyDescent="0.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ht="14.25" x14ac:dyDescent="0.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ht="14.25" x14ac:dyDescent="0.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ht="14.25" x14ac:dyDescent="0.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ht="14.25" x14ac:dyDescent="0.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ht="14.25" x14ac:dyDescent="0.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ht="14.25" x14ac:dyDescent="0.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ht="14.25" x14ac:dyDescent="0.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ht="14.25" x14ac:dyDescent="0.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ht="14.25" x14ac:dyDescent="0.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ht="14.25" x14ac:dyDescent="0.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ht="14.25" x14ac:dyDescent="0.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ht="14.25" x14ac:dyDescent="0.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ht="14.25" x14ac:dyDescent="0.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ht="14.25" x14ac:dyDescent="0.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ht="14.25" x14ac:dyDescent="0.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ht="14.25" x14ac:dyDescent="0.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ht="14.25" x14ac:dyDescent="0.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ht="14.25" x14ac:dyDescent="0.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ht="14.25" x14ac:dyDescent="0.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ht="14.25" x14ac:dyDescent="0.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ht="14.25" x14ac:dyDescent="0.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ht="14.25" x14ac:dyDescent="0.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ht="14.25" x14ac:dyDescent="0.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ht="14.25" x14ac:dyDescent="0.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ht="14.25" x14ac:dyDescent="0.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ht="14.25" x14ac:dyDescent="0.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ht="14.25" x14ac:dyDescent="0.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ht="14.25" x14ac:dyDescent="0.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ht="14.25" x14ac:dyDescent="0.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ht="14.25" x14ac:dyDescent="0.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ht="14.25" x14ac:dyDescent="0.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ht="14.25" x14ac:dyDescent="0.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ht="14.25" x14ac:dyDescent="0.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ht="14.25" x14ac:dyDescent="0.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ht="14.25" x14ac:dyDescent="0.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ht="14.25" x14ac:dyDescent="0.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ht="14.25" x14ac:dyDescent="0.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ht="14.25" x14ac:dyDescent="0.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ht="14.25" x14ac:dyDescent="0.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ht="14.25" x14ac:dyDescent="0.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ht="14.25" x14ac:dyDescent="0.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ht="14.25" x14ac:dyDescent="0.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ht="14.25" x14ac:dyDescent="0.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ht="14.25" x14ac:dyDescent="0.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ht="14.25" x14ac:dyDescent="0.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ht="14.25" x14ac:dyDescent="0.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ht="14.25" x14ac:dyDescent="0.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ht="14.25" x14ac:dyDescent="0.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ht="14.25" x14ac:dyDescent="0.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ht="14.25" x14ac:dyDescent="0.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ht="14.25" x14ac:dyDescent="0.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ht="14.25" x14ac:dyDescent="0.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ht="14.25" x14ac:dyDescent="0.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ht="14.25" x14ac:dyDescent="0.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ht="14.25" x14ac:dyDescent="0.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ht="14.25" x14ac:dyDescent="0.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ht="14.25" x14ac:dyDescent="0.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ht="14.25" x14ac:dyDescent="0.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ht="14.25" x14ac:dyDescent="0.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ht="14.25" x14ac:dyDescent="0.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ht="14.25" x14ac:dyDescent="0.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ht="14.25" x14ac:dyDescent="0.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ht="14.25" x14ac:dyDescent="0.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ht="14.25" x14ac:dyDescent="0.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ht="14.25" x14ac:dyDescent="0.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ht="14.25" x14ac:dyDescent="0.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ht="14.25" x14ac:dyDescent="0.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ht="14.25" x14ac:dyDescent="0.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ht="14.25" x14ac:dyDescent="0.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ht="14.25" x14ac:dyDescent="0.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ht="14.25" x14ac:dyDescent="0.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ht="14.25" x14ac:dyDescent="0.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ht="14.25" x14ac:dyDescent="0.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ht="14.25" x14ac:dyDescent="0.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ht="14.25" x14ac:dyDescent="0.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ht="14.25" x14ac:dyDescent="0.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ht="14.25" x14ac:dyDescent="0.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ht="14.25" x14ac:dyDescent="0.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ht="14.25" x14ac:dyDescent="0.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ht="14.25" x14ac:dyDescent="0.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ht="14.25" x14ac:dyDescent="0.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ht="14.25" x14ac:dyDescent="0.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ht="14.25" x14ac:dyDescent="0.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ht="14.25" x14ac:dyDescent="0.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ht="14.25" x14ac:dyDescent="0.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ht="14.25" x14ac:dyDescent="0.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ht="14.25" x14ac:dyDescent="0.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ht="14.25" x14ac:dyDescent="0.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ht="14.25" x14ac:dyDescent="0.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ht="14.25" x14ac:dyDescent="0.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ht="14.25" x14ac:dyDescent="0.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ht="14.25" x14ac:dyDescent="0.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ht="14.25" x14ac:dyDescent="0.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ht="14.25" x14ac:dyDescent="0.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ht="14.25" x14ac:dyDescent="0.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ht="14.25" x14ac:dyDescent="0.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ht="14.25" x14ac:dyDescent="0.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ht="14.25" x14ac:dyDescent="0.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ht="14.25" x14ac:dyDescent="0.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ht="14.25" x14ac:dyDescent="0.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ht="14.25" x14ac:dyDescent="0.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ht="14.25" x14ac:dyDescent="0.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ht="14.25" x14ac:dyDescent="0.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ht="14.25" x14ac:dyDescent="0.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ht="14.25" x14ac:dyDescent="0.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ht="14.25" x14ac:dyDescent="0.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ht="14.25" x14ac:dyDescent="0.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ht="14.25" x14ac:dyDescent="0.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ht="14.25" x14ac:dyDescent="0.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ht="14.25" x14ac:dyDescent="0.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ht="14.25" x14ac:dyDescent="0.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ht="14.25" x14ac:dyDescent="0.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ht="14.25" x14ac:dyDescent="0.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ht="14.25" x14ac:dyDescent="0.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ht="14.25" x14ac:dyDescent="0.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ht="14.25" x14ac:dyDescent="0.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ht="14.25" x14ac:dyDescent="0.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ht="14.25" x14ac:dyDescent="0.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ht="14.25" x14ac:dyDescent="0.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ht="14.25" x14ac:dyDescent="0.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ht="14.25" x14ac:dyDescent="0.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ht="14.25" x14ac:dyDescent="0.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ht="14.25" x14ac:dyDescent="0.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ht="14.25" x14ac:dyDescent="0.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ht="14.25" x14ac:dyDescent="0.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ht="14.25" x14ac:dyDescent="0.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ht="14.25" x14ac:dyDescent="0.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ht="14.25" x14ac:dyDescent="0.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ht="14.25" x14ac:dyDescent="0.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ht="14.25" x14ac:dyDescent="0.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ht="14.25" x14ac:dyDescent="0.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ht="14.25" x14ac:dyDescent="0.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ht="14.25" x14ac:dyDescent="0.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ht="14.25" x14ac:dyDescent="0.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ht="14.25" x14ac:dyDescent="0.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ht="14.25" x14ac:dyDescent="0.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ht="14.25" x14ac:dyDescent="0.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ht="14.25" x14ac:dyDescent="0.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ht="14.25" x14ac:dyDescent="0.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ht="14.25" x14ac:dyDescent="0.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ht="14.25" x14ac:dyDescent="0.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ht="14.25" x14ac:dyDescent="0.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ht="14.25" x14ac:dyDescent="0.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ht="14.25" x14ac:dyDescent="0.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ht="14.25" x14ac:dyDescent="0.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ht="14.25" x14ac:dyDescent="0.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ht="14.25" x14ac:dyDescent="0.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ht="14.25" x14ac:dyDescent="0.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ht="14.25" x14ac:dyDescent="0.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ht="14.25" x14ac:dyDescent="0.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ht="14.25" x14ac:dyDescent="0.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ht="14.25" x14ac:dyDescent="0.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ht="14.25" x14ac:dyDescent="0.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ht="14.25" x14ac:dyDescent="0.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ht="14.25" x14ac:dyDescent="0.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ht="14.25" x14ac:dyDescent="0.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ht="14.25" x14ac:dyDescent="0.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ht="14.25" x14ac:dyDescent="0.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ht="14.25" x14ac:dyDescent="0.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ht="14.25" x14ac:dyDescent="0.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ht="14.25" x14ac:dyDescent="0.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ht="14.25" x14ac:dyDescent="0.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ht="14.25" x14ac:dyDescent="0.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ht="14.25" x14ac:dyDescent="0.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ht="14.25" x14ac:dyDescent="0.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ht="14.25" x14ac:dyDescent="0.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ht="14.25" x14ac:dyDescent="0.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ht="14.25" x14ac:dyDescent="0.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ht="14.25" x14ac:dyDescent="0.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ht="14.25" x14ac:dyDescent="0.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ht="14.25" x14ac:dyDescent="0.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ht="14.25" x14ac:dyDescent="0.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ht="14.25" x14ac:dyDescent="0.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ht="14.25" x14ac:dyDescent="0.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ht="14.25" x14ac:dyDescent="0.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ht="14.25" x14ac:dyDescent="0.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ht="14.25" x14ac:dyDescent="0.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ht="14.25" x14ac:dyDescent="0.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ht="14.25" x14ac:dyDescent="0.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ht="14.25" x14ac:dyDescent="0.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ht="14.25" x14ac:dyDescent="0.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ht="14.25" x14ac:dyDescent="0.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ht="14.25" x14ac:dyDescent="0.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ht="14.25" x14ac:dyDescent="0.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ht="14.25" x14ac:dyDescent="0.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ht="14.25" x14ac:dyDescent="0.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ht="14.25" x14ac:dyDescent="0.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ht="14.25" x14ac:dyDescent="0.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ht="14.25" x14ac:dyDescent="0.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ht="14.25" x14ac:dyDescent="0.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ht="14.25" x14ac:dyDescent="0.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ht="14.25" x14ac:dyDescent="0.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ht="14.25" x14ac:dyDescent="0.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ht="14.25" x14ac:dyDescent="0.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ht="14.25" x14ac:dyDescent="0.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ht="14.25" x14ac:dyDescent="0.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ht="14.25" x14ac:dyDescent="0.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ht="14.25" x14ac:dyDescent="0.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ht="14.25" x14ac:dyDescent="0.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ht="14.25" x14ac:dyDescent="0.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ht="14.25" x14ac:dyDescent="0.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ht="14.25" x14ac:dyDescent="0.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ht="14.25" x14ac:dyDescent="0.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ht="14.25" x14ac:dyDescent="0.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ht="14.25" x14ac:dyDescent="0.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ht="14.25" x14ac:dyDescent="0.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ht="14.25" x14ac:dyDescent="0.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ht="14.25" x14ac:dyDescent="0.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ht="14.25" x14ac:dyDescent="0.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ht="14.25" x14ac:dyDescent="0.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ht="14.25" x14ac:dyDescent="0.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ht="14.25" x14ac:dyDescent="0.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ht="14.25" x14ac:dyDescent="0.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ht="14.25" x14ac:dyDescent="0.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ht="14.25" x14ac:dyDescent="0.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ht="14.25" x14ac:dyDescent="0.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ht="14.25" x14ac:dyDescent="0.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ht="14.25" x14ac:dyDescent="0.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ht="14.25" x14ac:dyDescent="0.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ht="14.25" x14ac:dyDescent="0.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ht="14.25" x14ac:dyDescent="0.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ht="14.25" x14ac:dyDescent="0.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ht="14.25" x14ac:dyDescent="0.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ht="14.25" x14ac:dyDescent="0.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ht="14.25" x14ac:dyDescent="0.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ht="14.25" x14ac:dyDescent="0.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ht="14.25" x14ac:dyDescent="0.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ht="14.25" x14ac:dyDescent="0.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ht="14.25" x14ac:dyDescent="0.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ht="14.25" x14ac:dyDescent="0.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ht="14.25" x14ac:dyDescent="0.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ht="14.25" x14ac:dyDescent="0.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ht="14.25" x14ac:dyDescent="0.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ht="14.25" x14ac:dyDescent="0.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ht="14.25" x14ac:dyDescent="0.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ht="14.25" x14ac:dyDescent="0.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ht="14.25" x14ac:dyDescent="0.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ht="14.25" x14ac:dyDescent="0.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ht="14.25" x14ac:dyDescent="0.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ht="14.25" x14ac:dyDescent="0.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ht="14.25" x14ac:dyDescent="0.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ht="14.25" x14ac:dyDescent="0.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ht="14.25" x14ac:dyDescent="0.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ht="14.25" x14ac:dyDescent="0.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ht="14.25" x14ac:dyDescent="0.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ht="14.25" x14ac:dyDescent="0.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ht="14.25" x14ac:dyDescent="0.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ht="14.25" x14ac:dyDescent="0.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ht="14.25" x14ac:dyDescent="0.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ht="14.25" x14ac:dyDescent="0.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ht="14.25" x14ac:dyDescent="0.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ht="14.25" x14ac:dyDescent="0.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ht="14.25" x14ac:dyDescent="0.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ht="14.25" x14ac:dyDescent="0.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ht="14.25" x14ac:dyDescent="0.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ht="14.25" x14ac:dyDescent="0.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ht="14.25" x14ac:dyDescent="0.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ht="14.25" x14ac:dyDescent="0.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ht="14.25" x14ac:dyDescent="0.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ht="14.25" x14ac:dyDescent="0.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ht="14.25" x14ac:dyDescent="0.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ht="14.25" x14ac:dyDescent="0.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ht="14.25" x14ac:dyDescent="0.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ht="14.25" x14ac:dyDescent="0.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ht="14.25" x14ac:dyDescent="0.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ht="14.25" x14ac:dyDescent="0.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ht="14.25" x14ac:dyDescent="0.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ht="14.25" x14ac:dyDescent="0.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ht="14.25" x14ac:dyDescent="0.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ht="14.25" x14ac:dyDescent="0.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ht="14.25" x14ac:dyDescent="0.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ht="14.25" x14ac:dyDescent="0.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ht="14.25" x14ac:dyDescent="0.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ht="14.25" x14ac:dyDescent="0.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ht="14.25" x14ac:dyDescent="0.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ht="14.25" x14ac:dyDescent="0.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ht="14.25" x14ac:dyDescent="0.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ht="14.25" x14ac:dyDescent="0.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ht="14.25" x14ac:dyDescent="0.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ht="14.25" x14ac:dyDescent="0.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ht="14.25" x14ac:dyDescent="0.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ht="14.25" x14ac:dyDescent="0.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ht="14.25" x14ac:dyDescent="0.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ht="14.25" x14ac:dyDescent="0.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ht="14.25" x14ac:dyDescent="0.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ht="14.25" x14ac:dyDescent="0.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ht="14.25" x14ac:dyDescent="0.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ht="14.25" x14ac:dyDescent="0.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ht="14.25" x14ac:dyDescent="0.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ht="14.25" x14ac:dyDescent="0.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ht="14.25" x14ac:dyDescent="0.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ht="14.25" x14ac:dyDescent="0.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ht="14.25" x14ac:dyDescent="0.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ht="14.25" x14ac:dyDescent="0.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ht="14.25" x14ac:dyDescent="0.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ht="14.25" x14ac:dyDescent="0.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ht="14.25" x14ac:dyDescent="0.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ht="14.25" x14ac:dyDescent="0.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ht="14.25" x14ac:dyDescent="0.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ht="14.25" x14ac:dyDescent="0.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ht="14.25" x14ac:dyDescent="0.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ht="14.25" x14ac:dyDescent="0.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ht="14.25" x14ac:dyDescent="0.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ht="14.25" x14ac:dyDescent="0.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ht="14.25" x14ac:dyDescent="0.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ht="14.25" x14ac:dyDescent="0.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ht="14.25" x14ac:dyDescent="0.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ht="14.25" x14ac:dyDescent="0.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ht="14.25" x14ac:dyDescent="0.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ht="14.25" x14ac:dyDescent="0.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ht="14.25" x14ac:dyDescent="0.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ht="14.25" x14ac:dyDescent="0.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ht="14.25" x14ac:dyDescent="0.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ht="14.25" x14ac:dyDescent="0.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ht="14.25" x14ac:dyDescent="0.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ht="14.25" x14ac:dyDescent="0.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ht="14.25" x14ac:dyDescent="0.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ht="14.25" x14ac:dyDescent="0.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ht="14.25" x14ac:dyDescent="0.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ht="14.25" x14ac:dyDescent="0.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ht="14.25" x14ac:dyDescent="0.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ht="14.25" x14ac:dyDescent="0.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ht="14.25" x14ac:dyDescent="0.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ht="14.25" x14ac:dyDescent="0.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ht="14.25" x14ac:dyDescent="0.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ht="14.25" x14ac:dyDescent="0.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ht="14.25" x14ac:dyDescent="0.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ht="14.25" x14ac:dyDescent="0.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ht="14.25" x14ac:dyDescent="0.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ht="14.25" x14ac:dyDescent="0.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ht="14.25" x14ac:dyDescent="0.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ht="14.25" x14ac:dyDescent="0.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ht="14.25" x14ac:dyDescent="0.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ht="14.25" x14ac:dyDescent="0.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ht="14.25" x14ac:dyDescent="0.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ht="14.25" x14ac:dyDescent="0.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ht="14.25" x14ac:dyDescent="0.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ht="14.25" x14ac:dyDescent="0.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ht="14.25" x14ac:dyDescent="0.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ht="14.25" x14ac:dyDescent="0.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ht="14.25" x14ac:dyDescent="0.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ht="14.25" x14ac:dyDescent="0.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ht="14.25" x14ac:dyDescent="0.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ht="14.25" x14ac:dyDescent="0.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ht="14.25" x14ac:dyDescent="0.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ht="14.25" x14ac:dyDescent="0.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ht="14.25" x14ac:dyDescent="0.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ht="14.25" x14ac:dyDescent="0.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ht="14.25" x14ac:dyDescent="0.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ht="14.25" x14ac:dyDescent="0.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ht="14.25" x14ac:dyDescent="0.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ht="14.25" x14ac:dyDescent="0.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ht="14.25" x14ac:dyDescent="0.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ht="14.25" x14ac:dyDescent="0.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ht="14.25" x14ac:dyDescent="0.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ht="14.25" x14ac:dyDescent="0.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ht="14.25" x14ac:dyDescent="0.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ht="14.25" x14ac:dyDescent="0.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ht="14.25" x14ac:dyDescent="0.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ht="14.25" x14ac:dyDescent="0.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ht="14.25" x14ac:dyDescent="0.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ht="14.25" x14ac:dyDescent="0.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ht="14.25" x14ac:dyDescent="0.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ht="14.25" x14ac:dyDescent="0.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ht="14.25" x14ac:dyDescent="0.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ht="14.25" x14ac:dyDescent="0.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ht="14.25" x14ac:dyDescent="0.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ht="14.25" x14ac:dyDescent="0.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ht="14.25" x14ac:dyDescent="0.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ht="14.25" x14ac:dyDescent="0.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ht="14.25" x14ac:dyDescent="0.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ht="14.25" x14ac:dyDescent="0.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ht="14.25" x14ac:dyDescent="0.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ht="14.25" x14ac:dyDescent="0.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ht="14.25" x14ac:dyDescent="0.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ht="14.25" x14ac:dyDescent="0.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ht="14.25" x14ac:dyDescent="0.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ht="14.25" x14ac:dyDescent="0.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ht="14.25" x14ac:dyDescent="0.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ht="14.25" x14ac:dyDescent="0.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ht="14.25" x14ac:dyDescent="0.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ht="14.25" x14ac:dyDescent="0.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ht="14.25" x14ac:dyDescent="0.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ht="14.25" x14ac:dyDescent="0.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ht="14.25" x14ac:dyDescent="0.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ht="14.25" x14ac:dyDescent="0.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ht="14.25" x14ac:dyDescent="0.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ht="14.25" x14ac:dyDescent="0.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ht="14.25" x14ac:dyDescent="0.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ht="14.25" x14ac:dyDescent="0.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ht="14.25" x14ac:dyDescent="0.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ht="14.25" x14ac:dyDescent="0.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ht="14.25" x14ac:dyDescent="0.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ht="14.25" x14ac:dyDescent="0.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ht="14.25" x14ac:dyDescent="0.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ht="14.25" x14ac:dyDescent="0.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ht="14.25" x14ac:dyDescent="0.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ht="14.25" x14ac:dyDescent="0.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ht="14.25" x14ac:dyDescent="0.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ht="14.25" x14ac:dyDescent="0.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ht="14.25" x14ac:dyDescent="0.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ht="14.25" x14ac:dyDescent="0.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ht="14.25" x14ac:dyDescent="0.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ht="14.25" x14ac:dyDescent="0.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ht="14.25" x14ac:dyDescent="0.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ht="14.25" x14ac:dyDescent="0.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ht="14.25" x14ac:dyDescent="0.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ht="14.25" x14ac:dyDescent="0.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ht="14.25" x14ac:dyDescent="0.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ht="14.25" x14ac:dyDescent="0.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ht="14.25" x14ac:dyDescent="0.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ht="14.25" x14ac:dyDescent="0.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ht="14.25" x14ac:dyDescent="0.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ht="14.25" x14ac:dyDescent="0.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ht="14.25" x14ac:dyDescent="0.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ht="14.25" x14ac:dyDescent="0.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ht="14.25" x14ac:dyDescent="0.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ht="14.25" x14ac:dyDescent="0.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ht="14.25" x14ac:dyDescent="0.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ht="14.25" x14ac:dyDescent="0.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ht="14.25" x14ac:dyDescent="0.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ht="14.25" x14ac:dyDescent="0.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ht="14.25" x14ac:dyDescent="0.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ht="14.25" x14ac:dyDescent="0.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ht="14.25" x14ac:dyDescent="0.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ht="14.25" x14ac:dyDescent="0.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ht="14.25" x14ac:dyDescent="0.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ht="14.25" x14ac:dyDescent="0.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ht="14.25" x14ac:dyDescent="0.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ht="14.25" x14ac:dyDescent="0.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ht="14.25" x14ac:dyDescent="0.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ht="14.25" x14ac:dyDescent="0.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ht="14.25" x14ac:dyDescent="0.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ht="14.25" x14ac:dyDescent="0.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ht="14.25" x14ac:dyDescent="0.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ht="14.25" x14ac:dyDescent="0.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ht="14.25" x14ac:dyDescent="0.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ht="14.25" x14ac:dyDescent="0.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ht="14.25" x14ac:dyDescent="0.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ht="14.25" x14ac:dyDescent="0.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ht="14.25" x14ac:dyDescent="0.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ht="14.25" x14ac:dyDescent="0.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ht="14.25" x14ac:dyDescent="0.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ht="14.25" x14ac:dyDescent="0.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ht="14.25" x14ac:dyDescent="0.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ht="14.25" x14ac:dyDescent="0.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ht="14.25" x14ac:dyDescent="0.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ht="14.25" x14ac:dyDescent="0.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ht="14.25" x14ac:dyDescent="0.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ht="14.25" x14ac:dyDescent="0.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ht="14.25" x14ac:dyDescent="0.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ht="14.25" x14ac:dyDescent="0.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ht="14.25" x14ac:dyDescent="0.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ht="14.25" x14ac:dyDescent="0.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ht="14.25" x14ac:dyDescent="0.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ht="14.25" x14ac:dyDescent="0.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ht="14.25" x14ac:dyDescent="0.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ht="14.25" x14ac:dyDescent="0.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ht="14.25" x14ac:dyDescent="0.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ht="14.25" x14ac:dyDescent="0.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ht="14.25" x14ac:dyDescent="0.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ht="14.25" x14ac:dyDescent="0.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ht="14.25" x14ac:dyDescent="0.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ht="14.25" x14ac:dyDescent="0.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ht="14.25" x14ac:dyDescent="0.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ht="14.25" x14ac:dyDescent="0.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ht="14.25" x14ac:dyDescent="0.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ht="14.25" x14ac:dyDescent="0.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ht="14.25" x14ac:dyDescent="0.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ht="14.25" x14ac:dyDescent="0.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ht="14.25" x14ac:dyDescent="0.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ht="14.25" x14ac:dyDescent="0.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ht="14.25" x14ac:dyDescent="0.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ht="14.25" x14ac:dyDescent="0.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ht="14.25" x14ac:dyDescent="0.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ht="14.25" x14ac:dyDescent="0.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ht="14.25" x14ac:dyDescent="0.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ht="14.25" x14ac:dyDescent="0.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ht="14.25" x14ac:dyDescent="0.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ht="14.25" x14ac:dyDescent="0.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ht="14.25" x14ac:dyDescent="0.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ht="14.25" x14ac:dyDescent="0.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ht="14.25" x14ac:dyDescent="0.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ht="14.25" x14ac:dyDescent="0.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ht="14.25" x14ac:dyDescent="0.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ht="14.25" x14ac:dyDescent="0.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ht="14.25" x14ac:dyDescent="0.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ht="14.25" x14ac:dyDescent="0.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ht="14.25" x14ac:dyDescent="0.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ht="14.25" x14ac:dyDescent="0.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ht="14.25" x14ac:dyDescent="0.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ht="14.25" x14ac:dyDescent="0.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ht="14.25" x14ac:dyDescent="0.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ht="14.25" x14ac:dyDescent="0.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ht="14.25" x14ac:dyDescent="0.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ht="14.25" x14ac:dyDescent="0.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ht="14.25" x14ac:dyDescent="0.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ht="14.25" x14ac:dyDescent="0.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ht="14.25" x14ac:dyDescent="0.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ht="14.25" x14ac:dyDescent="0.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ht="14.25" x14ac:dyDescent="0.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ht="14.25" x14ac:dyDescent="0.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ht="14.25" x14ac:dyDescent="0.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ht="14.25" x14ac:dyDescent="0.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ht="14.25" x14ac:dyDescent="0.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ht="14.25" x14ac:dyDescent="0.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ht="14.25" x14ac:dyDescent="0.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ht="14.25" x14ac:dyDescent="0.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ht="14.25" x14ac:dyDescent="0.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ht="14.25" x14ac:dyDescent="0.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ht="14.25" x14ac:dyDescent="0.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ht="14.25" x14ac:dyDescent="0.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ht="14.25" x14ac:dyDescent="0.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ht="14.25" x14ac:dyDescent="0.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ht="14.25" x14ac:dyDescent="0.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ht="14.25" x14ac:dyDescent="0.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ht="14.25" x14ac:dyDescent="0.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ht="14.25" x14ac:dyDescent="0.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ht="14.25" x14ac:dyDescent="0.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ht="14.25" x14ac:dyDescent="0.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ht="14.25" x14ac:dyDescent="0.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ht="14.25" x14ac:dyDescent="0.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ht="14.25" x14ac:dyDescent="0.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ht="14.25" x14ac:dyDescent="0.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ht="14.25" x14ac:dyDescent="0.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ht="14.25" x14ac:dyDescent="0.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ht="14.25" x14ac:dyDescent="0.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ht="14.25" x14ac:dyDescent="0.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ht="14.25" x14ac:dyDescent="0.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ht="14.25" x14ac:dyDescent="0.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ht="14.25" x14ac:dyDescent="0.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ht="14.25" x14ac:dyDescent="0.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ht="14.25" x14ac:dyDescent="0.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ht="14.25" x14ac:dyDescent="0.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ht="14.25" x14ac:dyDescent="0.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ht="14.25" x14ac:dyDescent="0.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ht="14.25" x14ac:dyDescent="0.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ht="14.25" x14ac:dyDescent="0.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ht="14.25" x14ac:dyDescent="0.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ht="14.25" x14ac:dyDescent="0.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ht="14.25" x14ac:dyDescent="0.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ht="14.25" x14ac:dyDescent="0.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ht="14.25" x14ac:dyDescent="0.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ht="14.25" x14ac:dyDescent="0.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ht="14.25" x14ac:dyDescent="0.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ht="14.25" x14ac:dyDescent="0.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ht="14.25" x14ac:dyDescent="0.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ht="14.25" x14ac:dyDescent="0.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ht="14.25" x14ac:dyDescent="0.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ht="14.25" x14ac:dyDescent="0.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ht="14.25" x14ac:dyDescent="0.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ht="14.25" x14ac:dyDescent="0.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ht="14.25" x14ac:dyDescent="0.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ht="14.25" x14ac:dyDescent="0.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ht="14.25" x14ac:dyDescent="0.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ht="14.25" x14ac:dyDescent="0.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ht="14.25" x14ac:dyDescent="0.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ht="14.25" x14ac:dyDescent="0.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ht="14.25" x14ac:dyDescent="0.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ht="14.25" x14ac:dyDescent="0.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ht="14.25" x14ac:dyDescent="0.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ht="14.25" x14ac:dyDescent="0.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ht="14.25" x14ac:dyDescent="0.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ht="14.25" x14ac:dyDescent="0.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ht="14.25" x14ac:dyDescent="0.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ht="14.25" x14ac:dyDescent="0.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ht="14.25" x14ac:dyDescent="0.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ht="14.25" x14ac:dyDescent="0.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ht="14.25" x14ac:dyDescent="0.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ht="14.25" x14ac:dyDescent="0.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ht="14.25" x14ac:dyDescent="0.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ht="14.25" x14ac:dyDescent="0.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ht="14.25" x14ac:dyDescent="0.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ht="14.25" x14ac:dyDescent="0.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ht="14.25" x14ac:dyDescent="0.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061B-27C0-48C2-8CBC-21421E9099BA}">
  <dimension ref="A1:AB37"/>
  <sheetViews>
    <sheetView tabSelected="1" zoomScale="71" zoomScaleNormal="100" workbookViewId="0">
      <selection activeCell="W29" sqref="W29"/>
    </sheetView>
  </sheetViews>
  <sheetFormatPr defaultRowHeight="14.25" x14ac:dyDescent="0.2"/>
  <cols>
    <col min="1" max="1" width="3.875" customWidth="1"/>
    <col min="2" max="2" width="4.25" customWidth="1"/>
    <col min="5" max="5" width="4.625" customWidth="1"/>
    <col min="15" max="15" width="6.875" customWidth="1"/>
    <col min="16" max="16" width="13.25" customWidth="1"/>
    <col min="18" max="18" width="10.625" customWidth="1"/>
    <col min="19" max="19" width="11.375" customWidth="1"/>
    <col min="20" max="20" width="10.25" customWidth="1"/>
    <col min="21" max="21" width="10.125" customWidth="1"/>
  </cols>
  <sheetData>
    <row r="1" spans="1:28" x14ac:dyDescent="0.2">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x14ac:dyDescent="0.2">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row>
    <row r="3" spans="1:28" x14ac:dyDescent="0.2">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4" spans="1:28" x14ac:dyDescent="0.2">
      <c r="A4" s="20"/>
      <c r="B4" s="20"/>
      <c r="C4" s="20"/>
      <c r="D4" s="20"/>
      <c r="E4" s="25"/>
      <c r="F4" s="20"/>
      <c r="G4" s="20"/>
      <c r="H4" s="20"/>
      <c r="I4" s="20"/>
      <c r="J4" s="20"/>
      <c r="K4" s="20"/>
      <c r="L4" s="20"/>
      <c r="M4" s="20"/>
      <c r="N4" s="20"/>
      <c r="O4" s="20"/>
      <c r="P4" s="20"/>
      <c r="Q4" s="20"/>
      <c r="R4" s="20"/>
      <c r="S4" s="20"/>
      <c r="T4" s="20"/>
      <c r="U4" s="20"/>
      <c r="V4" s="20"/>
      <c r="W4" s="20"/>
      <c r="X4" s="20"/>
      <c r="Y4" s="20"/>
      <c r="Z4" s="20"/>
      <c r="AA4" s="20"/>
      <c r="AB4" s="20"/>
    </row>
    <row r="5" spans="1:28" x14ac:dyDescent="0.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row>
    <row r="6" spans="1:28" x14ac:dyDescent="0.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x14ac:dyDescent="0.2">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x14ac:dyDescent="0.2">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x14ac:dyDescent="0.2">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x14ac:dyDescent="0.2">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row>
    <row r="11" spans="1:28" x14ac:dyDescent="0.2">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row>
    <row r="12" spans="1:28" x14ac:dyDescent="0.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row>
    <row r="13" spans="1:28" x14ac:dyDescent="0.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row>
    <row r="14" spans="1:28" x14ac:dyDescent="0.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row>
    <row r="15" spans="1:28" x14ac:dyDescent="0.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row>
    <row r="16" spans="1:28" x14ac:dyDescent="0.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row>
    <row r="17" spans="1:28" x14ac:dyDescent="0.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row>
    <row r="18" spans="1:28" x14ac:dyDescent="0.2">
      <c r="A18" s="20"/>
      <c r="B18" s="20"/>
      <c r="C18" s="20"/>
      <c r="D18" s="20"/>
      <c r="E18" s="20"/>
      <c r="F18" s="20"/>
      <c r="G18" s="20"/>
      <c r="H18" s="20"/>
      <c r="I18" s="20"/>
      <c r="K18" s="20"/>
      <c r="L18" s="20"/>
      <c r="M18" s="20"/>
      <c r="N18" s="20"/>
      <c r="O18" s="20"/>
      <c r="P18" s="33"/>
      <c r="Q18" s="34" t="str" cm="1">
        <f t="array" ref="Q18:U18">Sheet2!B91:F91</f>
        <v>R01</v>
      </c>
      <c r="R18" s="34" t="str">
        <v>R02</v>
      </c>
      <c r="S18" s="34" t="str">
        <v>R03</v>
      </c>
      <c r="T18" s="34" t="str">
        <v>R04</v>
      </c>
      <c r="U18" s="35" t="str">
        <v>R05</v>
      </c>
      <c r="V18" s="20"/>
      <c r="W18" s="20"/>
      <c r="X18" s="20"/>
      <c r="Y18" s="20"/>
      <c r="Z18" s="20"/>
      <c r="AA18" s="20"/>
      <c r="AB18" s="20"/>
    </row>
    <row r="19" spans="1:28" x14ac:dyDescent="0.2">
      <c r="A19" s="20"/>
      <c r="B19" s="20"/>
      <c r="C19" s="20"/>
      <c r="D19" s="20"/>
      <c r="E19" s="20"/>
      <c r="F19" s="20"/>
      <c r="G19" s="20"/>
      <c r="H19" s="20"/>
      <c r="I19" s="20"/>
      <c r="K19" s="20"/>
      <c r="L19" s="20"/>
      <c r="M19" s="20"/>
      <c r="N19" s="20"/>
      <c r="O19" s="20"/>
      <c r="P19" s="36" t="str" cm="1">
        <f t="array" ref="P19:U36">_xlfn.ANCHORARRAY(Sheet2!H92)</f>
        <v>Cincinnati</v>
      </c>
      <c r="Q19" s="31" t="str">
        <v/>
      </c>
      <c r="R19" s="31" t="str">
        <v/>
      </c>
      <c r="S19" s="31" t="str">
        <v/>
      </c>
      <c r="T19" s="31" t="str">
        <v/>
      </c>
      <c r="U19" s="37" t="str">
        <v/>
      </c>
      <c r="V19" s="20"/>
      <c r="W19" s="20"/>
      <c r="X19" s="20"/>
      <c r="Y19" s="20"/>
      <c r="Z19" s="20"/>
      <c r="AA19" s="20"/>
      <c r="AB19" s="20"/>
    </row>
    <row r="20" spans="1:28" x14ac:dyDescent="0.2">
      <c r="A20" s="20"/>
      <c r="B20" s="20"/>
      <c r="C20" s="20"/>
      <c r="D20" s="20"/>
      <c r="E20" s="20"/>
      <c r="F20" s="20"/>
      <c r="G20" s="20"/>
      <c r="H20" s="20"/>
      <c r="I20" s="20"/>
      <c r="J20" s="20"/>
      <c r="K20" s="20"/>
      <c r="L20" s="20"/>
      <c r="M20" s="20"/>
      <c r="N20" s="20"/>
      <c r="O20" s="20"/>
      <c r="P20" s="36" t="str">
        <v>C0003</v>
      </c>
      <c r="Q20" s="32">
        <v>891</v>
      </c>
      <c r="R20" s="32">
        <v>1332</v>
      </c>
      <c r="S20" s="32">
        <v>1282</v>
      </c>
      <c r="T20" s="32">
        <v>739</v>
      </c>
      <c r="U20" s="38">
        <v>560</v>
      </c>
      <c r="V20" s="20"/>
      <c r="W20" s="20"/>
      <c r="X20" s="20"/>
      <c r="Y20" s="20"/>
      <c r="Z20" s="20"/>
      <c r="AA20" s="20"/>
      <c r="AB20" s="20"/>
    </row>
    <row r="21" spans="1:28" x14ac:dyDescent="0.2">
      <c r="A21" s="20"/>
      <c r="B21" s="20"/>
      <c r="C21" s="20"/>
      <c r="D21" s="20"/>
      <c r="E21" s="20"/>
      <c r="F21" s="20"/>
      <c r="G21" s="20"/>
      <c r="H21" s="20"/>
      <c r="I21" s="20"/>
      <c r="J21" s="20"/>
      <c r="K21" s="20"/>
      <c r="L21" s="20"/>
      <c r="M21" s="20"/>
      <c r="N21" s="20"/>
      <c r="O21" s="20"/>
      <c r="P21" s="36" t="str">
        <v>C0004</v>
      </c>
      <c r="Q21" s="32">
        <v>1991</v>
      </c>
      <c r="R21" s="32">
        <v>1886</v>
      </c>
      <c r="S21" s="32">
        <v>1206</v>
      </c>
      <c r="T21" s="32">
        <v>884</v>
      </c>
      <c r="U21" s="38">
        <v>1722</v>
      </c>
      <c r="V21" s="20"/>
      <c r="W21" s="20"/>
      <c r="X21" s="20"/>
      <c r="Y21" s="20"/>
      <c r="Z21" s="20"/>
      <c r="AA21" s="20"/>
      <c r="AB21" s="20"/>
    </row>
    <row r="22" spans="1:28" x14ac:dyDescent="0.2">
      <c r="A22" s="20"/>
      <c r="B22" s="20"/>
      <c r="C22" s="20"/>
      <c r="D22" s="20"/>
      <c r="E22" s="20"/>
      <c r="F22" s="20"/>
      <c r="G22" s="20"/>
      <c r="H22" s="20"/>
      <c r="I22" s="20"/>
      <c r="J22" s="20"/>
      <c r="K22" s="20"/>
      <c r="L22" s="20"/>
      <c r="M22" s="20"/>
      <c r="N22" s="20"/>
      <c r="O22" s="20"/>
      <c r="P22" s="36" t="str">
        <v>C0011</v>
      </c>
      <c r="Q22" s="32">
        <v>1163</v>
      </c>
      <c r="R22" s="32">
        <v>1180</v>
      </c>
      <c r="S22" s="32">
        <v>1616</v>
      </c>
      <c r="T22" s="32">
        <v>1043</v>
      </c>
      <c r="U22" s="38">
        <v>1747</v>
      </c>
      <c r="V22" s="20"/>
      <c r="W22" s="20"/>
      <c r="X22" s="20"/>
      <c r="Y22" s="20"/>
      <c r="Z22" s="20"/>
      <c r="AA22" s="20"/>
      <c r="AB22" s="20"/>
    </row>
    <row r="23" spans="1:28" x14ac:dyDescent="0.2">
      <c r="A23" s="20"/>
      <c r="B23" s="20"/>
      <c r="C23" s="20"/>
      <c r="D23" s="20"/>
      <c r="E23" s="20"/>
      <c r="F23" s="20"/>
      <c r="G23" s="20"/>
      <c r="H23" s="20"/>
      <c r="I23" s="20"/>
      <c r="J23" s="20"/>
      <c r="K23" s="20"/>
      <c r="L23" s="20"/>
      <c r="M23" s="20"/>
      <c r="N23" s="20"/>
      <c r="O23" s="20"/>
      <c r="P23" s="36" t="str">
        <v>C0012</v>
      </c>
      <c r="Q23" s="32">
        <v>1438</v>
      </c>
      <c r="R23" s="32">
        <v>1616</v>
      </c>
      <c r="S23" s="32">
        <v>866</v>
      </c>
      <c r="T23" s="32">
        <v>829</v>
      </c>
      <c r="U23" s="38">
        <v>2070</v>
      </c>
      <c r="V23" s="20"/>
      <c r="W23" s="20"/>
      <c r="X23" s="20"/>
      <c r="Y23" s="20"/>
      <c r="Z23" s="20"/>
      <c r="AA23" s="20"/>
      <c r="AB23" s="20"/>
    </row>
    <row r="24" spans="1:28" x14ac:dyDescent="0.2">
      <c r="A24" s="20"/>
      <c r="B24" s="20"/>
      <c r="C24" s="20"/>
      <c r="D24" s="20"/>
      <c r="E24" s="20"/>
      <c r="F24" s="20"/>
      <c r="G24" s="20"/>
      <c r="H24" s="20"/>
      <c r="I24" s="20"/>
      <c r="J24" s="20"/>
      <c r="K24" s="20"/>
      <c r="L24" s="20"/>
      <c r="M24" s="20"/>
      <c r="N24" s="20"/>
      <c r="O24" s="20"/>
      <c r="P24" s="36" t="str">
        <v>Cleveland</v>
      </c>
      <c r="Q24" s="32" t="str">
        <v/>
      </c>
      <c r="R24" s="32" t="str">
        <v/>
      </c>
      <c r="S24" s="32" t="str">
        <v/>
      </c>
      <c r="T24" s="32" t="str">
        <v/>
      </c>
      <c r="U24" s="38" t="str">
        <v/>
      </c>
      <c r="V24" s="20"/>
      <c r="W24" s="20"/>
      <c r="X24" s="20"/>
      <c r="Y24" s="20"/>
      <c r="Z24" s="20"/>
      <c r="AA24" s="20"/>
      <c r="AB24" s="20"/>
    </row>
    <row r="25" spans="1:28" x14ac:dyDescent="0.2">
      <c r="A25" s="20"/>
      <c r="B25" s="20"/>
      <c r="C25" s="20"/>
      <c r="E25" s="20"/>
      <c r="F25" s="20"/>
      <c r="G25" s="20"/>
      <c r="H25" s="20"/>
      <c r="I25" s="20"/>
      <c r="J25" s="20"/>
      <c r="K25" s="20"/>
      <c r="L25" s="20"/>
      <c r="M25" s="20"/>
      <c r="N25" s="20"/>
      <c r="O25" s="20"/>
      <c r="P25" s="36" t="str">
        <v>C0002</v>
      </c>
      <c r="Q25" s="32">
        <v>1233</v>
      </c>
      <c r="R25" s="32">
        <v>223</v>
      </c>
      <c r="S25" s="32">
        <v>1680</v>
      </c>
      <c r="T25" s="32">
        <v>990</v>
      </c>
      <c r="U25" s="38">
        <v>1508</v>
      </c>
      <c r="V25" s="20"/>
      <c r="W25" s="20"/>
      <c r="X25" s="20"/>
      <c r="Y25" s="20"/>
      <c r="Z25" s="20"/>
      <c r="AA25" s="20"/>
      <c r="AB25" s="20"/>
    </row>
    <row r="26" spans="1:28" x14ac:dyDescent="0.2">
      <c r="A26" s="20"/>
      <c r="B26" s="20"/>
      <c r="C26" s="20"/>
      <c r="D26" s="20"/>
      <c r="E26" s="20"/>
      <c r="F26" s="20"/>
      <c r="G26" s="20"/>
      <c r="H26" s="20"/>
      <c r="I26" s="20"/>
      <c r="J26" s="20"/>
      <c r="K26" s="20"/>
      <c r="L26" s="20"/>
      <c r="M26" s="20"/>
      <c r="N26" s="20"/>
      <c r="O26" s="20"/>
      <c r="P26" s="36" t="str">
        <v>C0007</v>
      </c>
      <c r="Q26" s="32">
        <v>1598</v>
      </c>
      <c r="R26" s="32">
        <v>1907</v>
      </c>
      <c r="S26" s="32">
        <v>869</v>
      </c>
      <c r="T26" s="32">
        <v>1426</v>
      </c>
      <c r="U26" s="38">
        <v>1416</v>
      </c>
      <c r="V26" s="20"/>
      <c r="W26" s="20"/>
      <c r="X26" s="20"/>
      <c r="Y26" s="20"/>
      <c r="Z26" s="20"/>
      <c r="AA26" s="20"/>
      <c r="AB26" s="20"/>
    </row>
    <row r="27" spans="1:28" x14ac:dyDescent="0.2">
      <c r="A27" s="20"/>
      <c r="B27" s="20"/>
      <c r="C27" s="20"/>
      <c r="D27" s="20"/>
      <c r="E27" s="20"/>
      <c r="F27" s="20"/>
      <c r="G27" s="20"/>
      <c r="H27" s="20"/>
      <c r="I27" s="20"/>
      <c r="J27" s="20"/>
      <c r="K27" s="20"/>
      <c r="L27" s="20"/>
      <c r="M27" s="20"/>
      <c r="N27" s="20"/>
      <c r="O27" s="20"/>
      <c r="P27" s="36" t="str">
        <v>C0008</v>
      </c>
      <c r="Q27" s="32">
        <v>900</v>
      </c>
      <c r="R27" s="32">
        <v>1016</v>
      </c>
      <c r="S27" s="32">
        <v>960</v>
      </c>
      <c r="T27" s="32">
        <v>940</v>
      </c>
      <c r="U27" s="38">
        <v>1193</v>
      </c>
      <c r="V27" s="20"/>
      <c r="W27" s="20"/>
      <c r="X27" s="20"/>
      <c r="Y27" s="20"/>
      <c r="Z27" s="20"/>
      <c r="AA27" s="20"/>
      <c r="AB27" s="20"/>
    </row>
    <row r="28" spans="1:28" x14ac:dyDescent="0.2">
      <c r="A28" s="20"/>
      <c r="B28" s="20"/>
      <c r="C28" s="20"/>
      <c r="D28" s="20"/>
      <c r="E28" s="20"/>
      <c r="F28" s="20"/>
      <c r="G28" s="20"/>
      <c r="H28" s="20"/>
      <c r="I28" s="20"/>
      <c r="J28" s="20"/>
      <c r="K28" s="20"/>
      <c r="L28" s="20"/>
      <c r="M28" s="20"/>
      <c r="N28" s="20"/>
      <c r="O28" s="20"/>
      <c r="P28" s="36" t="str">
        <v>C0010</v>
      </c>
      <c r="Q28" s="32">
        <v>900</v>
      </c>
      <c r="R28" s="32">
        <v>1470</v>
      </c>
      <c r="S28" s="32">
        <v>1617</v>
      </c>
      <c r="T28" s="32">
        <v>1314</v>
      </c>
      <c r="U28" s="38">
        <v>941</v>
      </c>
      <c r="V28" s="20"/>
      <c r="W28" s="20"/>
      <c r="X28" s="20"/>
      <c r="Y28" s="20"/>
      <c r="Z28" s="20"/>
      <c r="AA28" s="20"/>
      <c r="AB28" s="20"/>
    </row>
    <row r="29" spans="1:28" x14ac:dyDescent="0.2">
      <c r="A29" s="20"/>
      <c r="B29" s="20"/>
      <c r="C29" s="20"/>
      <c r="D29" s="20"/>
      <c r="E29" s="20"/>
      <c r="F29" s="20"/>
      <c r="G29" s="20"/>
      <c r="H29" s="20"/>
      <c r="I29" s="20"/>
      <c r="J29" s="20"/>
      <c r="K29" s="20"/>
      <c r="L29" s="20"/>
      <c r="M29" s="20"/>
      <c r="N29" s="20"/>
      <c r="O29" s="20"/>
      <c r="P29" s="36" t="str">
        <v>C0013</v>
      </c>
      <c r="Q29" s="32">
        <v>1255</v>
      </c>
      <c r="R29" s="32">
        <v>516</v>
      </c>
      <c r="S29" s="32">
        <v>1874</v>
      </c>
      <c r="T29" s="32">
        <v>1863</v>
      </c>
      <c r="U29" s="38">
        <v>1722</v>
      </c>
      <c r="V29" s="20"/>
      <c r="W29" s="20"/>
      <c r="X29" s="20"/>
      <c r="Y29" s="20"/>
      <c r="Z29" s="20"/>
      <c r="AA29" s="20"/>
      <c r="AB29" s="20"/>
    </row>
    <row r="30" spans="1:28" x14ac:dyDescent="0.2">
      <c r="A30" s="20"/>
      <c r="B30" s="20"/>
      <c r="C30" s="20"/>
      <c r="D30" s="20"/>
      <c r="E30" s="20"/>
      <c r="F30" s="20"/>
      <c r="G30" s="20"/>
      <c r="H30" s="20"/>
      <c r="I30" s="20"/>
      <c r="J30" s="20"/>
      <c r="K30" s="20"/>
      <c r="L30" s="20"/>
      <c r="M30" s="20"/>
      <c r="N30" s="20"/>
      <c r="O30" s="20"/>
      <c r="P30" s="36" t="str">
        <v>C0015</v>
      </c>
      <c r="Q30" s="32">
        <v>1138</v>
      </c>
      <c r="R30" s="32">
        <v>1898</v>
      </c>
      <c r="S30" s="32">
        <v>1482</v>
      </c>
      <c r="T30" s="32">
        <v>846</v>
      </c>
      <c r="U30" s="38">
        <v>1154</v>
      </c>
      <c r="V30" s="20"/>
      <c r="W30" s="20"/>
      <c r="X30" s="20"/>
      <c r="Y30" s="20"/>
      <c r="Z30" s="20"/>
      <c r="AA30" s="20"/>
      <c r="AB30" s="20"/>
    </row>
    <row r="31" spans="1:28" ht="26.25" x14ac:dyDescent="0.4">
      <c r="A31" s="20"/>
      <c r="B31" s="20"/>
      <c r="C31" s="20"/>
      <c r="D31" s="20"/>
      <c r="E31" s="20"/>
      <c r="F31" s="20"/>
      <c r="G31" s="20"/>
      <c r="H31" s="20"/>
      <c r="I31" s="20"/>
      <c r="J31" s="20"/>
      <c r="K31" s="20"/>
      <c r="L31" s="20"/>
      <c r="M31" s="44" t="str">
        <f>Sheet2!I76</f>
        <v>% of Calls:19%</v>
      </c>
      <c r="N31" s="44"/>
      <c r="O31" s="45"/>
      <c r="P31" s="36" t="str">
        <v>Columbus</v>
      </c>
      <c r="Q31" s="32" t="str">
        <v/>
      </c>
      <c r="R31" s="32" t="str">
        <v/>
      </c>
      <c r="S31" s="32" t="str">
        <v/>
      </c>
      <c r="T31" s="32" t="str">
        <v/>
      </c>
      <c r="U31" s="38" t="str">
        <v/>
      </c>
      <c r="V31" s="20"/>
      <c r="W31" s="20"/>
      <c r="X31" s="20"/>
      <c r="Y31" s="20"/>
      <c r="Z31" s="20"/>
      <c r="AA31" s="20"/>
      <c r="AB31" s="20"/>
    </row>
    <row r="32" spans="1:28" x14ac:dyDescent="0.2">
      <c r="A32" s="20"/>
      <c r="B32" s="20"/>
      <c r="C32" s="20"/>
      <c r="D32" s="20"/>
      <c r="E32" s="20"/>
      <c r="F32" s="20"/>
      <c r="G32" s="20"/>
      <c r="H32" s="20"/>
      <c r="I32" s="20"/>
      <c r="J32" s="20"/>
      <c r="K32" s="20"/>
      <c r="L32" s="20"/>
      <c r="M32" s="20"/>
      <c r="N32" s="20"/>
      <c r="O32" s="20"/>
      <c r="P32" s="36" t="str">
        <v>C0001</v>
      </c>
      <c r="Q32" s="32">
        <v>1655</v>
      </c>
      <c r="R32" s="32">
        <v>805</v>
      </c>
      <c r="S32" s="32">
        <v>2263</v>
      </c>
      <c r="T32" s="32">
        <v>987</v>
      </c>
      <c r="U32" s="38">
        <v>1075</v>
      </c>
      <c r="V32" s="20"/>
      <c r="W32" s="30"/>
      <c r="X32" s="20"/>
      <c r="Y32" s="20"/>
      <c r="Z32" s="20"/>
      <c r="AA32" s="20"/>
      <c r="AB32" s="20"/>
    </row>
    <row r="33" spans="1:28" ht="26.25" x14ac:dyDescent="0.4">
      <c r="A33" s="20"/>
      <c r="B33" s="20"/>
      <c r="C33" s="20"/>
      <c r="D33" s="20"/>
      <c r="E33" s="20"/>
      <c r="F33" s="20"/>
      <c r="G33" s="20"/>
      <c r="H33" s="20"/>
      <c r="I33" s="20"/>
      <c r="J33" s="20"/>
      <c r="K33" s="20"/>
      <c r="L33" s="20"/>
      <c r="M33" s="46" t="str">
        <f>Sheet2!I77</f>
        <v>Call Rank:4</v>
      </c>
      <c r="N33" s="46"/>
      <c r="O33" s="47"/>
      <c r="P33" s="36" t="str">
        <v>C0005</v>
      </c>
      <c r="Q33" s="32">
        <v>1104</v>
      </c>
      <c r="R33" s="32">
        <v>2280</v>
      </c>
      <c r="S33" s="32">
        <v>1445</v>
      </c>
      <c r="T33" s="32">
        <v>1722</v>
      </c>
      <c r="U33" s="38">
        <v>1196</v>
      </c>
      <c r="V33" s="20"/>
      <c r="W33" s="20"/>
      <c r="X33" s="20"/>
      <c r="Y33" s="20"/>
      <c r="Z33" s="20"/>
      <c r="AA33" s="20"/>
      <c r="AB33" s="20"/>
    </row>
    <row r="34" spans="1:28" x14ac:dyDescent="0.2">
      <c r="A34" s="20"/>
      <c r="B34" s="20"/>
      <c r="C34" s="20"/>
      <c r="D34" s="20"/>
      <c r="E34" s="20"/>
      <c r="F34" s="20"/>
      <c r="G34" s="20"/>
      <c r="H34" s="20"/>
      <c r="I34" s="20"/>
      <c r="J34" s="20"/>
      <c r="K34" s="20"/>
      <c r="L34" s="20"/>
      <c r="M34" s="20"/>
      <c r="N34" s="20"/>
      <c r="O34" s="20"/>
      <c r="P34" s="36" t="str">
        <v>C0006</v>
      </c>
      <c r="Q34" s="32">
        <v>372</v>
      </c>
      <c r="R34" s="32">
        <v>1818</v>
      </c>
      <c r="S34" s="32">
        <v>1346</v>
      </c>
      <c r="T34" s="32">
        <v>1156</v>
      </c>
      <c r="U34" s="38">
        <v>1484</v>
      </c>
      <c r="V34" s="20"/>
      <c r="W34" s="20"/>
      <c r="X34" s="20"/>
      <c r="Y34" s="20"/>
      <c r="Z34" s="20"/>
      <c r="AA34" s="20"/>
      <c r="AB34" s="20"/>
    </row>
    <row r="35" spans="1:28" ht="26.25" x14ac:dyDescent="0.4">
      <c r="A35" s="20"/>
      <c r="B35" s="20"/>
      <c r="C35" s="20"/>
      <c r="D35" s="20"/>
      <c r="E35" s="20"/>
      <c r="F35" s="20"/>
      <c r="G35" s="20"/>
      <c r="H35" s="20"/>
      <c r="I35" s="20"/>
      <c r="J35" s="20"/>
      <c r="K35" s="20"/>
      <c r="L35" s="20"/>
      <c r="M35" s="46" t="str">
        <f>Sheet2!I78</f>
        <v>Amount Rank:4</v>
      </c>
      <c r="N35" s="46"/>
      <c r="O35" s="48"/>
      <c r="P35" s="36" t="str">
        <v>C0009</v>
      </c>
      <c r="Q35" s="32">
        <v>1415</v>
      </c>
      <c r="R35" s="32">
        <v>1271</v>
      </c>
      <c r="S35" s="32">
        <v>1214</v>
      </c>
      <c r="T35" s="32">
        <v>1135</v>
      </c>
      <c r="U35" s="38">
        <v>1566</v>
      </c>
      <c r="V35" s="20"/>
      <c r="W35" s="20"/>
      <c r="X35" s="20"/>
      <c r="Y35" s="20"/>
      <c r="Z35" s="20"/>
      <c r="AA35" s="20"/>
      <c r="AB35" s="20"/>
    </row>
    <row r="36" spans="1:28" x14ac:dyDescent="0.2">
      <c r="A36" s="20"/>
      <c r="B36" s="20"/>
      <c r="C36" s="20"/>
      <c r="D36" s="20"/>
      <c r="E36" s="20"/>
      <c r="F36" s="20"/>
      <c r="G36" s="20"/>
      <c r="H36" s="20"/>
      <c r="I36" s="20"/>
      <c r="J36" s="20"/>
      <c r="K36" s="20"/>
      <c r="L36" s="20"/>
      <c r="M36" s="20"/>
      <c r="N36" s="20"/>
      <c r="O36" s="20"/>
      <c r="P36" s="39" t="str">
        <v>C0014</v>
      </c>
      <c r="Q36" s="40">
        <v>1362</v>
      </c>
      <c r="R36" s="40">
        <v>1363</v>
      </c>
      <c r="S36" s="40">
        <v>1152</v>
      </c>
      <c r="T36" s="40">
        <v>777</v>
      </c>
      <c r="U36" s="41">
        <v>750</v>
      </c>
      <c r="V36" s="20"/>
      <c r="W36" s="20"/>
      <c r="X36" s="20"/>
      <c r="Y36" s="20"/>
      <c r="Z36" s="20"/>
      <c r="AA36" s="20"/>
      <c r="AB36" s="20"/>
    </row>
    <row r="37" spans="1:28"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sheetData>
  <mergeCells count="1">
    <mergeCell ref="M31:O31"/>
  </mergeCells>
  <conditionalFormatting sqref="Q18:U36">
    <cfRule type="dataBar" priority="4">
      <dataBar>
        <cfvo type="min"/>
        <cfvo type="max"/>
        <color rgb="FF638EC6"/>
      </dataBar>
      <extLst>
        <ext xmlns:x14="http://schemas.microsoft.com/office/spreadsheetml/2009/9/main" uri="{B025F937-C7B1-47D3-B67F-A62EFF666E3E}">
          <x14:id>{F8AB7CF2-D93A-4F98-9783-851A4F70615A}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9496826C-D8AB-4837-9112-A7B69F2DBBDA}">
            <xm:f>Q$18=Sheet2!$A$73</xm:f>
            <x14:dxf>
              <fill>
                <patternFill>
                  <bgColor theme="8" tint="0.59996337778862885"/>
                </patternFill>
              </fill>
            </x14:dxf>
          </x14:cfRule>
          <x14:cfRule type="dataBar" id="{F8AB7CF2-D93A-4F98-9783-851A4F70615A}">
            <x14:dataBar minLength="0" maxLength="100" gradient="0">
              <x14:cfvo type="autoMin"/>
              <x14:cfvo type="autoMax"/>
              <x14:negativeFillColor rgb="FFFF0000"/>
              <x14:axisColor rgb="FF000000"/>
            </x14:dataBar>
          </x14:cfRule>
          <xm:sqref>Q18:U36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Data</vt:lpstr>
      <vt:lpstr>customer centre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MD SADIQUE ANSARI</cp:lastModifiedBy>
  <dcterms:created xsi:type="dcterms:W3CDTF">2021-03-14T20:21:32Z</dcterms:created>
  <dcterms:modified xsi:type="dcterms:W3CDTF">2025-06-30T11:57:40Z</dcterms:modified>
</cp:coreProperties>
</file>